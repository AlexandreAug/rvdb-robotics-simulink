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4e17021f22116f5/Mestrado/0 DISSERTAÇÃO/DissertacaoMestradoITA/Latex/Thesis ITA LaTeX/4 Resultados e discussoes/Imagens/1 App longa distancia/"/>
    </mc:Choice>
  </mc:AlternateContent>
  <xr:revisionPtr revIDLastSave="1824" documentId="11_AD4D361C20488DEA4E38A0FC34DF79985BDEDD8A" xr6:coauthVersionLast="47" xr6:coauthVersionMax="47" xr10:uidLastSave="{6EFD5C34-FFB8-424B-A285-B01D3A1E1E76}"/>
  <bookViews>
    <workbookView xWindow="3510" yWindow="3510" windowWidth="28800" windowHeight="15345" activeTab="2" xr2:uid="{00000000-000D-0000-FFFF-FFFF00000000}"/>
  </bookViews>
  <sheets>
    <sheet name="Plan1" sheetId="1" r:id="rId1"/>
    <sheet name="Distancias relativas" sheetId="2" r:id="rId2"/>
    <sheet name="Comparativ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" l="1"/>
  <c r="K8" i="3"/>
  <c r="M8" i="3" s="1"/>
  <c r="F14" i="3"/>
  <c r="C14" i="3"/>
  <c r="L20" i="3"/>
  <c r="L18" i="3"/>
  <c r="L21" i="3"/>
  <c r="L19" i="3"/>
  <c r="K21" i="3"/>
  <c r="K20" i="3"/>
  <c r="K19" i="3"/>
  <c r="K18" i="3"/>
  <c r="N4" i="3"/>
  <c r="N5" i="3"/>
  <c r="N6" i="3"/>
  <c r="N7" i="3"/>
  <c r="N9" i="3"/>
  <c r="M15" i="3"/>
  <c r="M14" i="3"/>
  <c r="M13" i="3"/>
  <c r="L10" i="3"/>
  <c r="M9" i="3"/>
  <c r="C19" i="3"/>
  <c r="F19" i="3"/>
  <c r="F21" i="3"/>
  <c r="C21" i="3"/>
  <c r="F25" i="3"/>
  <c r="F23" i="3"/>
  <c r="C23" i="3"/>
  <c r="C25" i="3"/>
  <c r="N13" i="3"/>
  <c r="N14" i="3"/>
  <c r="N15" i="3"/>
  <c r="N3" i="3"/>
  <c r="M6" i="3"/>
  <c r="M4" i="3"/>
  <c r="M5" i="3"/>
  <c r="M7" i="3"/>
  <c r="M3" i="3"/>
  <c r="G4" i="3"/>
  <c r="G3" i="3"/>
  <c r="D4" i="3"/>
  <c r="D3" i="3"/>
  <c r="G2" i="3"/>
  <c r="D2" i="3"/>
  <c r="F12" i="3"/>
  <c r="F13" i="3" s="1"/>
  <c r="F10" i="3"/>
  <c r="F11" i="3" s="1"/>
  <c r="F8" i="3"/>
  <c r="F9" i="3" s="1"/>
  <c r="C12" i="3"/>
  <c r="C13" i="3" s="1"/>
  <c r="C10" i="3"/>
  <c r="C11" i="3" s="1"/>
  <c r="C8" i="3"/>
  <c r="C9" i="3" s="1"/>
  <c r="C4" i="1"/>
  <c r="F6" i="2"/>
  <c r="E6" i="2"/>
  <c r="G5" i="2"/>
  <c r="G6" i="2"/>
  <c r="G7" i="2"/>
  <c r="G4" i="2"/>
  <c r="B13" i="2"/>
  <c r="B11" i="2"/>
  <c r="B12" i="2"/>
  <c r="C21" i="1"/>
  <c r="C19" i="1"/>
  <c r="C18" i="1"/>
  <c r="K25" i="1"/>
  <c r="K22" i="1"/>
  <c r="K19" i="1"/>
  <c r="K14" i="1"/>
  <c r="K13" i="1"/>
  <c r="K12" i="1"/>
  <c r="J10" i="1"/>
  <c r="K10" i="1" s="1"/>
  <c r="K9" i="1"/>
  <c r="K8" i="1"/>
  <c r="J6" i="1"/>
  <c r="K6" i="1" s="1"/>
  <c r="K5" i="1"/>
  <c r="K4" i="1"/>
  <c r="C5" i="1"/>
  <c r="C3" i="1"/>
  <c r="F14" i="1"/>
  <c r="N8" i="3" l="1"/>
  <c r="N10" i="3"/>
  <c r="M10" i="3"/>
</calcChain>
</file>

<file path=xl/sharedStrings.xml><?xml version="1.0" encoding="utf-8"?>
<sst xmlns="http://schemas.openxmlformats.org/spreadsheetml/2006/main" count="319" uniqueCount="208">
  <si>
    <t>Perseguidor</t>
  </si>
  <si>
    <t>Alvo</t>
  </si>
  <si>
    <t>Raio orbital</t>
  </si>
  <si>
    <t>Variável</t>
  </si>
  <si>
    <t>Unidade</t>
  </si>
  <si>
    <t>segundo</t>
  </si>
  <si>
    <t>[0,00](0,00)</t>
  </si>
  <si>
    <t>Instante de Δv2</t>
  </si>
  <si>
    <t>01 h 02 min</t>
  </si>
  <si>
    <t>01 h 49 min</t>
  </si>
  <si>
    <t>00 h 47 min</t>
  </si>
  <si>
    <t>Tempo de drift</t>
  </si>
  <si>
    <r>
      <t xml:space="preserve">Tempo de </t>
    </r>
    <r>
      <rPr>
        <i/>
        <sz val="10"/>
        <color theme="1"/>
        <rFont val="Calibri"/>
        <family val="2"/>
        <scheme val="minor"/>
      </rPr>
      <t>drift</t>
    </r>
    <r>
      <rPr>
        <sz val="10"/>
        <color theme="1"/>
        <rFont val="Calibri"/>
        <family val="2"/>
        <scheme val="minor"/>
      </rPr>
      <t xml:space="preserve"> orbital</t>
    </r>
  </si>
  <si>
    <t>00 h 15 min</t>
  </si>
  <si>
    <t>Instante de Δv1</t>
  </si>
  <si>
    <t>Instante do final da aprox. de longa distância</t>
  </si>
  <si>
    <t>02 h 04 min</t>
  </si>
  <si>
    <t>Tempo entre Δv1 e Δv2</t>
  </si>
  <si>
    <t>Delta-V</t>
  </si>
  <si>
    <t>Consumo de Δv1</t>
  </si>
  <si>
    <t>Consumo de Δv total</t>
  </si>
  <si>
    <t>m/s</t>
  </si>
  <si>
    <t>Perseguidor (2)</t>
  </si>
  <si>
    <t>Perseguidor (1)</t>
  </si>
  <si>
    <t>Instante de tempo</t>
  </si>
  <si>
    <t>Fase/longitude</t>
  </si>
  <si>
    <t>[-7,00](-1,222)</t>
  </si>
  <si>
    <t>Along-track</t>
  </si>
  <si>
    <t xml:space="preserve">     Desejado</t>
  </si>
  <si>
    <t xml:space="preserve">     Alcançado</t>
  </si>
  <si>
    <t>hora</t>
  </si>
  <si>
    <t>kilômetro</t>
  </si>
  <si>
    <t>[grau](radiano)</t>
  </si>
  <si>
    <t>Cross-track</t>
  </si>
  <si>
    <t>Radial</t>
  </si>
  <si>
    <t xml:space="preserve">          Erro</t>
  </si>
  <si>
    <t>metro</t>
  </si>
  <si>
    <t>Eixo LVLH (antes do drift)</t>
  </si>
  <si>
    <t>Eixo LVLH (depois do drift)</t>
  </si>
  <si>
    <t xml:space="preserve">     Obtido</t>
  </si>
  <si>
    <t>x alvo</t>
  </si>
  <si>
    <t>y alvo</t>
  </si>
  <si>
    <t>delta x</t>
  </si>
  <si>
    <t>delta v</t>
  </si>
  <si>
    <t>d relativa</t>
  </si>
  <si>
    <t>x perseg</t>
  </si>
  <si>
    <t>y perseg</t>
  </si>
  <si>
    <t>Instante</t>
  </si>
  <si>
    <t>Alvo x</t>
  </si>
  <si>
    <t>Alvo y</t>
  </si>
  <si>
    <t>Perseg x</t>
  </si>
  <si>
    <t>Perseg y</t>
  </si>
  <si>
    <t>Longitude alvo</t>
  </si>
  <si>
    <t>Longitude perseg</t>
  </si>
  <si>
    <t>Dif grau</t>
  </si>
  <si>
    <t>Dif radiano</t>
  </si>
  <si>
    <t>Dist relativa</t>
  </si>
  <si>
    <t>Distância relativa [km]</t>
  </si>
  <si>
    <t>Diferença</t>
  </si>
  <si>
    <t>Queima 1</t>
  </si>
  <si>
    <t>Queima 2</t>
  </si>
  <si>
    <t>Longitude [grau]</t>
  </si>
  <si>
    <t>Instante [segundo]</t>
  </si>
  <si>
    <t>Evento</t>
  </si>
  <si>
    <t>Início da simulação</t>
  </si>
  <si>
    <t>deltav1</t>
  </si>
  <si>
    <t>deltav2</t>
  </si>
  <si>
    <t>fase_desejada_phi</t>
  </si>
  <si>
    <t>fase_alcancada_phi2</t>
  </si>
  <si>
    <t>T_syn</t>
  </si>
  <si>
    <t>t_espera_min</t>
  </si>
  <si>
    <t>fase_tol_deg</t>
  </si>
  <si>
    <t>alongtrack_desejado_m</t>
  </si>
  <si>
    <t>alongtrack_alcancado_m</t>
  </si>
  <si>
    <t>radial_desejado_m</t>
  </si>
  <si>
    <t>radial_alcancado_m</t>
  </si>
  <si>
    <t>crosstrack_desejado_m</t>
  </si>
  <si>
    <t>crosstrack_alcancado_m</t>
  </si>
  <si>
    <t>err_fase_rad</t>
  </si>
  <si>
    <t>tol_fase_rad</t>
  </si>
  <si>
    <t>err_along_m</t>
  </si>
  <si>
    <t>tol_along_m</t>
  </si>
  <si>
    <t>err_radial_m</t>
  </si>
  <si>
    <t>tol_radial_m</t>
  </si>
  <si>
    <t>err_crosstrack_m</t>
  </si>
  <si>
    <t>tol_crosstrack_m</t>
  </si>
  <si>
    <t>longitude_chaser_burn1 (rad)</t>
  </si>
  <si>
    <t>longitude_chaser_burn1 (deg)</t>
  </si>
  <si>
    <t>longitude_target_burn2 (rad)</t>
  </si>
  <si>
    <t>longitude_target_burn2 (deg)</t>
  </si>
  <si>
    <t>longitude_chaser_burn2 (rad)</t>
  </si>
  <si>
    <t>longitude_chaser_burn2 (deg)</t>
  </si>
  <si>
    <t>Tempo da órbita de transferência</t>
  </si>
  <si>
    <t>Tempo de espera até iniciar TH (queima 1)</t>
  </si>
  <si>
    <t>Tempo até queima 2</t>
  </si>
  <si>
    <t>deltav total</t>
  </si>
  <si>
    <t>raio orbital perseguidor inicial</t>
  </si>
  <si>
    <t>raio orbital target</t>
  </si>
  <si>
    <t>raio orbital perseguidor após TH</t>
  </si>
  <si>
    <t>longitude inicial perseguidor (rad)</t>
  </si>
  <si>
    <t>longitude inicial perseguidor (deg)</t>
  </si>
  <si>
    <t>Instante do drift</t>
  </si>
  <si>
    <t>Tempo total de drift</t>
  </si>
  <si>
    <t>Posição LVLH (radial) no instante da queima 2</t>
  </si>
  <si>
    <t>Posição LVLH (along) no instante da queima 2</t>
  </si>
  <si>
    <t>Posição LVLH (cross) no instante da queima 2</t>
  </si>
  <si>
    <t>Velocidade LVLH (radial) no instante da queima 2</t>
  </si>
  <si>
    <t>Velocidade LVLH (along) no instante da queima 2</t>
  </si>
  <si>
    <t>Velocidade LVLH (cross) no instante da queima 2</t>
  </si>
  <si>
    <t>Posição LVLH (radial) após drift</t>
  </si>
  <si>
    <t>Posição LVLH (along) após drift</t>
  </si>
  <si>
    <t>Posição LVLH (cross) após drift</t>
  </si>
  <si>
    <t>Velocidade LVLH (along) após drift</t>
  </si>
  <si>
    <t>Velocidade LVLH (radial) após drift</t>
  </si>
  <si>
    <t>Velocidade LVLH (cross) após drift</t>
  </si>
  <si>
    <t>altitude perseguidor inicial</t>
  </si>
  <si>
    <t>altitude target</t>
  </si>
  <si>
    <t>altitude perseguidor após TH</t>
  </si>
  <si>
    <t>A</t>
  </si>
  <si>
    <t>B</t>
  </si>
  <si>
    <t>Cenário</t>
  </si>
  <si>
    <t>Longitude inicial do perseguidor</t>
  </si>
  <si>
    <t>-90 [deg] ou -1,5708 (rad)</t>
  </si>
  <si>
    <t>-7 [deg] ou -0,122 (rad)</t>
  </si>
  <si>
    <t>Cenário A</t>
  </si>
  <si>
    <t>Cenário B</t>
  </si>
  <si>
    <t>Tempo até a queima 1</t>
  </si>
  <si>
    <t>Tempo até a queima 2</t>
  </si>
  <si>
    <t>Tempo de transferência orbital</t>
  </si>
  <si>
    <t>Altitude inicial do perseguidor</t>
  </si>
  <si>
    <t>Altitude do perseguidor após TH</t>
  </si>
  <si>
    <t>km</t>
  </si>
  <si>
    <t>Altitude do alvo</t>
  </si>
  <si>
    <t>Diferença (%)</t>
  </si>
  <si>
    <t>Consumo de delta v1</t>
  </si>
  <si>
    <t>Consumo de delta v2</t>
  </si>
  <si>
    <t>Consumo total de delta v</t>
  </si>
  <si>
    <t>longitude_target_burn1 (rad)</t>
  </si>
  <si>
    <t>longitude_target_burn1 (deg)</t>
  </si>
  <si>
    <t>Longitude do perseguidor na queima 1</t>
  </si>
  <si>
    <t>Longitude do alvo na queima 1</t>
  </si>
  <si>
    <t>Longitude do perseguidor na queima 2</t>
  </si>
  <si>
    <t>Longitude do alvo na queima 2</t>
  </si>
  <si>
    <t>grau</t>
  </si>
  <si>
    <t xml:space="preserve">(ECI) Raio orbital inicial do perseguidor </t>
  </si>
  <si>
    <t>[6.826,87; -838,234; 0,0000]</t>
  </si>
  <si>
    <t xml:space="preserve">(ECI) Velocidade orbital inicial do perseguidor </t>
  </si>
  <si>
    <t>[0,927744; 7,55586; 0]</t>
  </si>
  <si>
    <t xml:space="preserve">(ECI) Raio orbital inicial do alvo </t>
  </si>
  <si>
    <t>[6.978,14; 0,0000; 0,0000]</t>
  </si>
  <si>
    <t xml:space="preserve">(ECI) Velocidade orbital inicial do alvo </t>
  </si>
  <si>
    <t>[0; 7,55787; 0]</t>
  </si>
  <si>
    <t>[4.543,34; 5.296,32; 0,0000]</t>
  </si>
  <si>
    <t>[-5,73645; 4,9209; 0]</t>
  </si>
  <si>
    <t>[4.543,03; 5.296,72; 0,0000]</t>
  </si>
  <si>
    <t>[-5,73676; 4,92045; 0]</t>
  </si>
  <si>
    <t xml:space="preserve">(ECI) Raio orbital do perseguidor após drift </t>
  </si>
  <si>
    <t>[-1.832,79; 6.733,04; 0,0000]</t>
  </si>
  <si>
    <t xml:space="preserve">(ECI) Velocidade do perseguidor após drift </t>
  </si>
  <si>
    <t>[-7,29257; -1,9851; 0]</t>
  </si>
  <si>
    <t xml:space="preserve">(ECI) Raio orbital do alvo após drift </t>
  </si>
  <si>
    <t>[-1.833,16; 6.733,05; 0,0000]</t>
  </si>
  <si>
    <t xml:space="preserve">(ECI) Velocidade do alvo após drift </t>
  </si>
  <si>
    <t>[-7,29241; -1,98545; 0]</t>
  </si>
  <si>
    <t>[0,0000; -6.778,14; 0,0000]</t>
  </si>
  <si>
    <t>[7,66856; 0; 0]</t>
  </si>
  <si>
    <t>[4.310,92; -5.487,16; 0,0000]</t>
  </si>
  <si>
    <t>[5,94315; 4,66917; 0]</t>
  </si>
  <si>
    <t>[4.311,38; -5.486,93; 0,0000]</t>
  </si>
  <si>
    <t>[5,94277; 4,66956; 0]</t>
  </si>
  <si>
    <t>[6.960,99; 487,484; 0,0000]</t>
  </si>
  <si>
    <t>[-0,527994; 7,53945; 0]</t>
  </si>
  <si>
    <t>[6.961,06; 487,844; 0,0000]</t>
  </si>
  <si>
    <t>[-0,528373; 7,53937; 0]</t>
  </si>
  <si>
    <t>Longitude -90 e Altitude inicial perseguidor 400km</t>
  </si>
  <si>
    <t>Longitude -7 e Altitude inicial perseguidor 500km</t>
  </si>
  <si>
    <t>radiano</t>
  </si>
  <si>
    <t>Tempo total (após drift)</t>
  </si>
  <si>
    <t>Valor (km e km/s)</t>
  </si>
  <si>
    <t>[-4.361,77; -5.446,96; 0,0000]</t>
  </si>
  <si>
    <t>[5,89948; -4,72414; 0]</t>
  </si>
  <si>
    <t>[-4.478,30; -5.220,50; 0,0000]</t>
  </si>
  <si>
    <t>[5,77796; -4,95651; 0]</t>
  </si>
  <si>
    <t>[-4.670,72; 5.184,47; 0,0000]</t>
  </si>
  <si>
    <t>[-5,61519; -5,05876; 0]</t>
  </si>
  <si>
    <t>[-4.187,43; 5.329,97; 0,0000]</t>
  </si>
  <si>
    <t>[-6,03015; -4,73752; 0]</t>
  </si>
  <si>
    <t xml:space="preserve">(ECI) Raio orbital do perseguidor no instante de deltav1 </t>
  </si>
  <si>
    <t xml:space="preserve">(ECI) Velocidade do perseguidor no instante de deltav1 </t>
  </si>
  <si>
    <t xml:space="preserve">(ECI) Raio orbital do alvo no instante de deltav1 </t>
  </si>
  <si>
    <t xml:space="preserve">(ECI) Velocidade do alvo no instante de deltav1 </t>
  </si>
  <si>
    <t xml:space="preserve">(ECI) Raio orbital do alvo no instante de deltav2 </t>
  </si>
  <si>
    <t xml:space="preserve">(ECI) Velocidade do alvo no instante de deltav2 </t>
  </si>
  <si>
    <t xml:space="preserve">(ECI) Velocidade do perseguidor no instante de deltav2 </t>
  </si>
  <si>
    <t xml:space="preserve">(ECI) Raio orbital do perseguidor no instante de deltav2 </t>
  </si>
  <si>
    <t>Semi-eixo maior (a)</t>
  </si>
  <si>
    <t>Excentricidade (e)</t>
  </si>
  <si>
    <t>Inclinação (i)</t>
  </si>
  <si>
    <t>Ascensão reta do nó ascendente (Ω)</t>
  </si>
  <si>
    <t>Argumento do perigeu (ω)</t>
  </si>
  <si>
    <t>Anomalia verdadeira (ν)</t>
  </si>
  <si>
    <t>Elemento orbital do perseguidor</t>
  </si>
  <si>
    <t>Elemento orbital do alvo</t>
  </si>
  <si>
    <t>OE após o drift</t>
  </si>
  <si>
    <t>Posição LVLH (Cenário A) após o drift</t>
  </si>
  <si>
    <t>Velocidade LVLH (Cenário A) após o drift</t>
  </si>
  <si>
    <t>Posição LVLH (Cenário B) após o drift</t>
  </si>
  <si>
    <t>Velocidade LVLH (Cenário B) após o 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</si>
</sst>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_-* #,##0.0000000_-;\-* #,##0.0000000_-;_-* &quot;-&quot;??_-;_-@_-"/>
    <numFmt numFmtId="167" formatCode="_-* #,##0.00000000_-;\-* #,##0.00000000_-;_-* &quot;-&quot;??_-;_-@_-"/>
    <numFmt numFmtId="168" formatCode="0.0000"/>
    <numFmt numFmtId="169" formatCode="0.000"/>
    <numFmt numFmtId="170" formatCode="#,##0.0000"/>
    <numFmt numFmtId="171" formatCode="#,##0.000000"/>
    <numFmt numFmtId="172" formatCode="#,##0.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43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43" fontId="2" fillId="0" borderId="6" xfId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3" fontId="2" fillId="0" borderId="8" xfId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3" fontId="2" fillId="0" borderId="10" xfId="1" applyFont="1" applyBorder="1" applyAlignment="1">
      <alignment vertical="center"/>
    </xf>
    <xf numFmtId="43" fontId="2" fillId="0" borderId="10" xfId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43" fontId="2" fillId="0" borderId="11" xfId="1" applyFont="1" applyBorder="1" applyAlignment="1">
      <alignment vertical="center"/>
    </xf>
    <xf numFmtId="0" fontId="2" fillId="0" borderId="8" xfId="0" quotePrefix="1" applyFont="1" applyBorder="1" applyAlignment="1">
      <alignment horizontal="center" vertical="center"/>
    </xf>
    <xf numFmtId="43" fontId="2" fillId="0" borderId="12" xfId="1" applyFont="1" applyBorder="1" applyAlignment="1">
      <alignment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2" fillId="0" borderId="7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165" fontId="2" fillId="0" borderId="12" xfId="1" applyNumberFormat="1" applyFont="1" applyBorder="1" applyAlignment="1">
      <alignment vertical="center"/>
    </xf>
    <xf numFmtId="166" fontId="2" fillId="0" borderId="10" xfId="1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3" fontId="2" fillId="0" borderId="8" xfId="0" quotePrefix="1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43" fontId="2" fillId="0" borderId="8" xfId="1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/>
    </xf>
    <xf numFmtId="168" fontId="2" fillId="0" borderId="18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69" fontId="2" fillId="0" borderId="17" xfId="0" applyNumberFormat="1" applyFont="1" applyBorder="1" applyAlignment="1">
      <alignment horizontal="center" vertical="center"/>
    </xf>
    <xf numFmtId="169" fontId="2" fillId="0" borderId="16" xfId="0" applyNumberFormat="1" applyFont="1" applyBorder="1" applyAlignment="1">
      <alignment horizontal="center" vertical="center"/>
    </xf>
    <xf numFmtId="169" fontId="2" fillId="0" borderId="1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5" fillId="0" borderId="1" xfId="1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11" fontId="5" fillId="0" borderId="0" xfId="1" applyNumberFormat="1" applyFont="1" applyAlignment="1">
      <alignment vertical="center"/>
    </xf>
    <xf numFmtId="0" fontId="6" fillId="6" borderId="0" xfId="0" applyFont="1" applyFill="1" applyAlignment="1">
      <alignment vertical="center"/>
    </xf>
    <xf numFmtId="4" fontId="5" fillId="0" borderId="1" xfId="1" applyNumberFormat="1" applyFont="1" applyBorder="1" applyAlignment="1">
      <alignment vertical="center"/>
    </xf>
    <xf numFmtId="4" fontId="5" fillId="0" borderId="1" xfId="1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vertical="center"/>
    </xf>
    <xf numFmtId="170" fontId="5" fillId="0" borderId="1" xfId="1" applyNumberFormat="1" applyFont="1" applyBorder="1" applyAlignment="1">
      <alignment vertical="center"/>
    </xf>
    <xf numFmtId="171" fontId="5" fillId="0" borderId="1" xfId="1" applyNumberFormat="1" applyFont="1" applyBorder="1" applyAlignment="1">
      <alignment vertical="center"/>
    </xf>
    <xf numFmtId="3" fontId="5" fillId="0" borderId="1" xfId="1" applyNumberFormat="1" applyFont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43" fontId="5" fillId="0" borderId="16" xfId="1" applyFont="1" applyBorder="1" applyAlignment="1">
      <alignment vertical="center"/>
    </xf>
    <xf numFmtId="43" fontId="5" fillId="0" borderId="17" xfId="1" applyFont="1" applyBorder="1" applyAlignment="1">
      <alignment vertical="center"/>
    </xf>
    <xf numFmtId="43" fontId="5" fillId="0" borderId="18" xfId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0" fontId="5" fillId="0" borderId="0" xfId="1" applyNumberFormat="1" applyFont="1" applyBorder="1" applyAlignment="1">
      <alignment horizontal="center" vertical="center"/>
    </xf>
    <xf numFmtId="4" fontId="5" fillId="0" borderId="0" xfId="1" applyNumberFormat="1" applyFont="1" applyAlignment="1">
      <alignment vertical="center"/>
    </xf>
    <xf numFmtId="4" fontId="5" fillId="2" borderId="0" xfId="1" applyNumberFormat="1" applyFont="1" applyFill="1" applyAlignment="1">
      <alignment vertical="center"/>
    </xf>
    <xf numFmtId="4" fontId="5" fillId="2" borderId="0" xfId="0" applyNumberFormat="1" applyFont="1" applyFill="1" applyAlignment="1">
      <alignment vertical="center"/>
    </xf>
    <xf numFmtId="4" fontId="5" fillId="3" borderId="0" xfId="1" applyNumberFormat="1" applyFont="1" applyFill="1" applyAlignment="1">
      <alignment vertical="center"/>
    </xf>
    <xf numFmtId="4" fontId="5" fillId="3" borderId="0" xfId="0" applyNumberFormat="1" applyFont="1" applyFill="1" applyAlignment="1">
      <alignment vertical="center"/>
    </xf>
    <xf numFmtId="4" fontId="5" fillId="0" borderId="0" xfId="0" applyNumberFormat="1" applyFont="1" applyAlignment="1">
      <alignment vertical="center"/>
    </xf>
    <xf numFmtId="4" fontId="5" fillId="4" borderId="0" xfId="1" applyNumberFormat="1" applyFont="1" applyFill="1" applyAlignment="1">
      <alignment vertical="center"/>
    </xf>
    <xf numFmtId="4" fontId="5" fillId="5" borderId="0" xfId="1" applyNumberFormat="1" applyFont="1" applyFill="1" applyAlignment="1">
      <alignment vertical="center"/>
    </xf>
    <xf numFmtId="172" fontId="6" fillId="4" borderId="0" xfId="1" applyNumberFormat="1" applyFont="1" applyFill="1" applyAlignment="1">
      <alignment vertical="center"/>
    </xf>
    <xf numFmtId="172" fontId="6" fillId="5" borderId="0" xfId="1" applyNumberFormat="1" applyFont="1" applyFill="1" applyAlignment="1">
      <alignment vertical="center"/>
    </xf>
    <xf numFmtId="172" fontId="5" fillId="0" borderId="0" xfId="1" applyNumberFormat="1" applyFont="1" applyAlignment="1">
      <alignment vertical="center"/>
    </xf>
    <xf numFmtId="172" fontId="5" fillId="2" borderId="0" xfId="1" applyNumberFormat="1" applyFont="1" applyFill="1" applyAlignment="1">
      <alignment vertical="center"/>
    </xf>
    <xf numFmtId="3" fontId="5" fillId="0" borderId="0" xfId="1" applyNumberFormat="1" applyFont="1" applyAlignment="1">
      <alignment vertical="center"/>
    </xf>
    <xf numFmtId="172" fontId="6" fillId="0" borderId="0" xfId="1" applyNumberFormat="1" applyFont="1" applyAlignment="1">
      <alignment vertical="center"/>
    </xf>
    <xf numFmtId="4" fontId="5" fillId="0" borderId="0" xfId="1" applyNumberFormat="1" applyFont="1" applyFill="1" applyAlignment="1">
      <alignment vertical="center"/>
    </xf>
    <xf numFmtId="4" fontId="5" fillId="7" borderId="0" xfId="1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9"/>
  <sheetViews>
    <sheetView showGridLines="0" zoomScale="205" zoomScaleNormal="205" workbookViewId="0">
      <selection activeCell="C5" sqref="C5"/>
    </sheetView>
  </sheetViews>
  <sheetFormatPr defaultRowHeight="12.75" x14ac:dyDescent="0.25"/>
  <cols>
    <col min="1" max="1" width="1.42578125" style="1" customWidth="1"/>
    <col min="2" max="2" width="16" style="1" customWidth="1"/>
    <col min="3" max="3" width="15.85546875" style="1" bestFit="1" customWidth="1"/>
    <col min="4" max="4" width="1.42578125" style="1" customWidth="1"/>
    <col min="5" max="5" width="37.7109375" style="1" bestFit="1" customWidth="1"/>
    <col min="6" max="6" width="14.7109375" style="1" customWidth="1"/>
    <col min="7" max="7" width="14.7109375" style="9" customWidth="1"/>
    <col min="8" max="8" width="1.42578125" style="1" customWidth="1"/>
    <col min="9" max="9" width="24.28515625" style="1" customWidth="1"/>
    <col min="10" max="12" width="12.85546875" style="1" customWidth="1"/>
    <col min="13" max="16384" width="9.140625" style="1"/>
  </cols>
  <sheetData>
    <row r="2" spans="2:11" s="9" customFormat="1" ht="13.5" thickBot="1" x14ac:dyDescent="0.3">
      <c r="B2" s="30" t="s">
        <v>2</v>
      </c>
      <c r="C2" s="32" t="s">
        <v>31</v>
      </c>
      <c r="E2" s="30" t="s">
        <v>24</v>
      </c>
      <c r="F2" s="31" t="s">
        <v>5</v>
      </c>
      <c r="G2" s="32" t="s">
        <v>30</v>
      </c>
      <c r="I2" s="30" t="s">
        <v>37</v>
      </c>
      <c r="J2" s="31" t="s">
        <v>36</v>
      </c>
      <c r="K2" s="32" t="s">
        <v>31</v>
      </c>
    </row>
    <row r="3" spans="2:11" ht="13.5" thickTop="1" x14ac:dyDescent="0.25">
      <c r="B3" s="14" t="s">
        <v>23</v>
      </c>
      <c r="C3" s="15">
        <f>6378.134+500</f>
        <v>6878.134</v>
      </c>
      <c r="E3" s="14" t="s">
        <v>14</v>
      </c>
      <c r="F3" s="10">
        <v>3727.5</v>
      </c>
      <c r="G3" s="33" t="s">
        <v>8</v>
      </c>
      <c r="I3" s="29" t="s">
        <v>27</v>
      </c>
      <c r="J3" s="22"/>
      <c r="K3" s="17"/>
    </row>
    <row r="4" spans="2:11" x14ac:dyDescent="0.25">
      <c r="B4" s="14" t="s">
        <v>22</v>
      </c>
      <c r="C4" s="15">
        <f>6378.134+599.899</f>
        <v>6978.0330000000004</v>
      </c>
      <c r="E4" s="14" t="s">
        <v>7</v>
      </c>
      <c r="F4" s="10">
        <v>6597</v>
      </c>
      <c r="G4" s="21" t="s">
        <v>9</v>
      </c>
      <c r="I4" s="24" t="s">
        <v>28</v>
      </c>
      <c r="J4" s="20">
        <v>-500</v>
      </c>
      <c r="K4" s="13">
        <f>J4/1000</f>
        <v>-0.5</v>
      </c>
    </row>
    <row r="5" spans="2:11" x14ac:dyDescent="0.25">
      <c r="B5" s="16" t="s">
        <v>1</v>
      </c>
      <c r="C5" s="17">
        <f>6378.134+600</f>
        <v>6978.134</v>
      </c>
      <c r="E5" s="16" t="s">
        <v>15</v>
      </c>
      <c r="F5" s="22">
        <v>7497</v>
      </c>
      <c r="G5" s="23" t="s">
        <v>16</v>
      </c>
      <c r="I5" s="25" t="s">
        <v>29</v>
      </c>
      <c r="J5" s="10">
        <v>-499.99279999999999</v>
      </c>
      <c r="K5" s="15">
        <f>J5/1000</f>
        <v>-0.49999280000000002</v>
      </c>
    </row>
    <row r="6" spans="2:11" x14ac:dyDescent="0.25">
      <c r="C6" s="10"/>
      <c r="I6" s="26" t="s">
        <v>35</v>
      </c>
      <c r="J6" s="27">
        <f>J5-J4</f>
        <v>7.2000000000116415E-3</v>
      </c>
      <c r="K6" s="28">
        <f>J6/1000</f>
        <v>7.2000000000116413E-6</v>
      </c>
    </row>
    <row r="7" spans="2:11" ht="13.5" thickBot="1" x14ac:dyDescent="0.3">
      <c r="B7" s="36" t="s">
        <v>25</v>
      </c>
      <c r="C7" s="34" t="s">
        <v>32</v>
      </c>
      <c r="E7" s="1" t="s">
        <v>12</v>
      </c>
      <c r="F7" s="10">
        <v>900</v>
      </c>
      <c r="G7" s="12" t="s">
        <v>13</v>
      </c>
      <c r="I7" s="6" t="s">
        <v>34</v>
      </c>
      <c r="J7" s="7"/>
      <c r="K7" s="8"/>
    </row>
    <row r="8" spans="2:11" ht="13.5" thickTop="1" x14ac:dyDescent="0.25">
      <c r="B8" s="14" t="s">
        <v>23</v>
      </c>
      <c r="C8" s="35" t="s">
        <v>26</v>
      </c>
      <c r="E8" s="1" t="s">
        <v>17</v>
      </c>
      <c r="F8" s="10">
        <v>2869.5</v>
      </c>
      <c r="G8" s="12" t="s">
        <v>10</v>
      </c>
      <c r="I8" s="24" t="s">
        <v>28</v>
      </c>
      <c r="J8" s="20">
        <v>-100</v>
      </c>
      <c r="K8" s="13">
        <f>J8/1000</f>
        <v>-0.1</v>
      </c>
    </row>
    <row r="9" spans="2:11" x14ac:dyDescent="0.25">
      <c r="B9" s="16" t="s">
        <v>22</v>
      </c>
      <c r="C9" s="18" t="s">
        <v>6</v>
      </c>
      <c r="F9" s="10"/>
      <c r="I9" s="25" t="s">
        <v>29</v>
      </c>
      <c r="J9" s="10">
        <v>-100.0179</v>
      </c>
      <c r="K9" s="15">
        <f>J9/1000</f>
        <v>-0.10001789999999999</v>
      </c>
    </row>
    <row r="10" spans="2:11" x14ac:dyDescent="0.25">
      <c r="C10" s="10"/>
      <c r="I10" s="26" t="s">
        <v>35</v>
      </c>
      <c r="J10" s="27">
        <f>J9-J8</f>
        <v>-1.7899999999997362E-2</v>
      </c>
      <c r="K10" s="28">
        <f>J10/1000</f>
        <v>-1.7899999999997362E-5</v>
      </c>
    </row>
    <row r="11" spans="2:11" ht="13.5" thickBot="1" x14ac:dyDescent="0.3">
      <c r="C11" s="10"/>
      <c r="E11" s="30" t="s">
        <v>18</v>
      </c>
      <c r="F11" s="34" t="s">
        <v>21</v>
      </c>
      <c r="I11" s="6" t="s">
        <v>33</v>
      </c>
      <c r="J11" s="7"/>
      <c r="K11" s="8"/>
    </row>
    <row r="12" spans="2:11" ht="13.5" thickTop="1" x14ac:dyDescent="0.25">
      <c r="C12" s="10"/>
      <c r="E12" s="14" t="s">
        <v>19</v>
      </c>
      <c r="F12" s="15">
        <v>27.3933</v>
      </c>
      <c r="I12" s="24" t="s">
        <v>28</v>
      </c>
      <c r="J12" s="20">
        <v>0</v>
      </c>
      <c r="K12" s="13">
        <f>J12/1000</f>
        <v>0</v>
      </c>
    </row>
    <row r="13" spans="2:11" x14ac:dyDescent="0.25">
      <c r="B13" s="11" t="s">
        <v>40</v>
      </c>
      <c r="C13" s="10">
        <v>4543.03</v>
      </c>
      <c r="E13" s="14" t="s">
        <v>19</v>
      </c>
      <c r="F13" s="15">
        <v>27.294699999999999</v>
      </c>
      <c r="I13" s="25" t="s">
        <v>29</v>
      </c>
      <c r="J13" s="10">
        <v>0</v>
      </c>
      <c r="K13" s="15">
        <f>J13/1000</f>
        <v>0</v>
      </c>
    </row>
    <row r="14" spans="2:11" x14ac:dyDescent="0.25">
      <c r="B14" s="11" t="s">
        <v>41</v>
      </c>
      <c r="C14" s="10">
        <v>5296.72</v>
      </c>
      <c r="E14" s="16" t="s">
        <v>20</v>
      </c>
      <c r="F14" s="17">
        <f>SUM(F12:F13)</f>
        <v>54.688000000000002</v>
      </c>
      <c r="I14" s="26" t="s">
        <v>35</v>
      </c>
      <c r="J14" s="27">
        <v>0</v>
      </c>
      <c r="K14" s="28">
        <f>J14/1000</f>
        <v>0</v>
      </c>
    </row>
    <row r="15" spans="2:11" x14ac:dyDescent="0.25">
      <c r="B15" s="11" t="s">
        <v>45</v>
      </c>
      <c r="C15" s="10">
        <v>4543.34</v>
      </c>
      <c r="F15" s="10"/>
    </row>
    <row r="16" spans="2:11" x14ac:dyDescent="0.25">
      <c r="B16" s="11" t="s">
        <v>46</v>
      </c>
      <c r="C16" s="10">
        <v>5296.32</v>
      </c>
      <c r="F16" s="10"/>
    </row>
    <row r="17" spans="2:11" ht="13.5" thickBot="1" x14ac:dyDescent="0.3">
      <c r="B17" s="11"/>
      <c r="C17" s="41"/>
      <c r="I17" s="30" t="s">
        <v>38</v>
      </c>
      <c r="J17" s="31" t="s">
        <v>36</v>
      </c>
      <c r="K17" s="32" t="s">
        <v>31</v>
      </c>
    </row>
    <row r="18" spans="2:11" ht="13.5" thickTop="1" x14ac:dyDescent="0.25">
      <c r="B18" s="11" t="s">
        <v>42</v>
      </c>
      <c r="C18" s="41">
        <f>(C13-C15)^2</f>
        <v>9.6100000000248112E-2</v>
      </c>
      <c r="I18" s="29" t="s">
        <v>27</v>
      </c>
      <c r="J18" s="22"/>
      <c r="K18" s="17"/>
    </row>
    <row r="19" spans="2:11" x14ac:dyDescent="0.25">
      <c r="B19" s="11" t="s">
        <v>43</v>
      </c>
      <c r="C19" s="41">
        <f>(C14-C16)^2</f>
        <v>0.16000000000043657</v>
      </c>
      <c r="I19" s="24" t="s">
        <v>39</v>
      </c>
      <c r="J19" s="20">
        <v>-353.77679999999998</v>
      </c>
      <c r="K19" s="13">
        <f>J19/1000</f>
        <v>-0.3537768</v>
      </c>
    </row>
    <row r="20" spans="2:11" x14ac:dyDescent="0.25">
      <c r="B20" s="11"/>
      <c r="C20" s="41"/>
      <c r="I20" s="25"/>
      <c r="J20" s="10"/>
      <c r="K20" s="15"/>
    </row>
    <row r="21" spans="2:11" x14ac:dyDescent="0.25">
      <c r="B21" s="11" t="s">
        <v>44</v>
      </c>
      <c r="C21" s="41">
        <f>SQRT(C18+C19)*1000</f>
        <v>506.06323715587632</v>
      </c>
      <c r="I21" s="37" t="s">
        <v>34</v>
      </c>
      <c r="J21" s="20"/>
      <c r="K21" s="13"/>
    </row>
    <row r="22" spans="2:11" x14ac:dyDescent="0.25">
      <c r="I22" s="24" t="s">
        <v>39</v>
      </c>
      <c r="J22" s="20">
        <v>-100.009</v>
      </c>
      <c r="K22" s="13">
        <f>J22/1000</f>
        <v>-0.100009</v>
      </c>
    </row>
    <row r="23" spans="2:11" x14ac:dyDescent="0.25">
      <c r="I23" s="26"/>
      <c r="J23" s="22"/>
      <c r="K23" s="17"/>
    </row>
    <row r="24" spans="2:11" x14ac:dyDescent="0.25">
      <c r="I24" s="38" t="s">
        <v>33</v>
      </c>
      <c r="J24" s="10"/>
      <c r="K24" s="15"/>
    </row>
    <row r="25" spans="2:11" x14ac:dyDescent="0.25">
      <c r="I25" s="24" t="s">
        <v>39</v>
      </c>
      <c r="J25" s="20">
        <v>0</v>
      </c>
      <c r="K25" s="13">
        <f>J25/1000</f>
        <v>0</v>
      </c>
    </row>
    <row r="26" spans="2:11" x14ac:dyDescent="0.25">
      <c r="G26" s="1"/>
      <c r="I26" s="16"/>
      <c r="J26" s="39"/>
      <c r="K26" s="40"/>
    </row>
    <row r="27" spans="2:11" x14ac:dyDescent="0.25">
      <c r="G27" s="1"/>
    </row>
    <row r="28" spans="2:11" x14ac:dyDescent="0.25">
      <c r="G28" s="1"/>
    </row>
    <row r="29" spans="2:11" x14ac:dyDescent="0.25">
      <c r="G29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EF2E-A6E4-4E2E-91A3-4912CBC4FC61}">
  <dimension ref="A2:M13"/>
  <sheetViews>
    <sheetView showGridLines="0" topLeftCell="B1" zoomScale="400" zoomScaleNormal="400" workbookViewId="0">
      <selection activeCell="D6" sqref="D6"/>
    </sheetView>
  </sheetViews>
  <sheetFormatPr defaultRowHeight="12.75" x14ac:dyDescent="0.25"/>
  <cols>
    <col min="1" max="1" width="17.85546875" style="1" customWidth="1"/>
    <col min="2" max="2" width="11" style="1" bestFit="1" customWidth="1"/>
    <col min="3" max="3" width="2.7109375" style="1" customWidth="1"/>
    <col min="4" max="4" width="19.140625" style="1" customWidth="1"/>
    <col min="5" max="7" width="10.85546875" style="1" customWidth="1"/>
    <col min="8" max="8" width="1.42578125" style="1" customWidth="1"/>
    <col min="9" max="9" width="9.140625" style="1"/>
    <col min="10" max="10" width="1.140625" style="1" customWidth="1"/>
    <col min="11" max="11" width="15.7109375" style="1" bestFit="1" customWidth="1"/>
    <col min="12" max="12" width="18.42578125" style="1" bestFit="1" customWidth="1"/>
    <col min="13" max="13" width="16.7109375" style="1" bestFit="1" customWidth="1"/>
    <col min="14" max="16384" width="9.140625" style="1"/>
  </cols>
  <sheetData>
    <row r="2" spans="1:13" ht="15" customHeight="1" x14ac:dyDescent="0.25">
      <c r="D2" s="120" t="s">
        <v>62</v>
      </c>
      <c r="E2" s="117" t="s">
        <v>61</v>
      </c>
      <c r="F2" s="118"/>
      <c r="G2" s="119"/>
    </row>
    <row r="3" spans="1:13" x14ac:dyDescent="0.25">
      <c r="A3" s="1" t="s">
        <v>47</v>
      </c>
      <c r="B3" s="1">
        <v>0</v>
      </c>
      <c r="D3" s="121"/>
      <c r="E3" s="3" t="s">
        <v>0</v>
      </c>
      <c r="F3" s="19" t="s">
        <v>1</v>
      </c>
      <c r="G3" s="5" t="s">
        <v>58</v>
      </c>
      <c r="K3" s="3" t="s">
        <v>62</v>
      </c>
      <c r="L3" s="3" t="s">
        <v>57</v>
      </c>
      <c r="M3" s="3" t="s">
        <v>63</v>
      </c>
    </row>
    <row r="4" spans="1:13" x14ac:dyDescent="0.25">
      <c r="A4" s="1" t="s">
        <v>48</v>
      </c>
      <c r="B4" s="2">
        <v>6978.14</v>
      </c>
      <c r="D4" s="47">
        <v>0</v>
      </c>
      <c r="E4" s="45">
        <v>-7</v>
      </c>
      <c r="F4" s="44">
        <v>0</v>
      </c>
      <c r="G4" s="44">
        <f>E4-F4</f>
        <v>-7</v>
      </c>
      <c r="K4" s="48">
        <v>0</v>
      </c>
      <c r="L4" s="51">
        <v>851.774</v>
      </c>
      <c r="M4" s="43" t="s">
        <v>64</v>
      </c>
    </row>
    <row r="5" spans="1:13" x14ac:dyDescent="0.25">
      <c r="A5" s="1" t="s">
        <v>49</v>
      </c>
      <c r="B5" s="2">
        <v>0</v>
      </c>
      <c r="D5" s="48">
        <v>2889.19</v>
      </c>
      <c r="E5" s="45">
        <v>176.215</v>
      </c>
      <c r="F5" s="45">
        <v>179.291</v>
      </c>
      <c r="G5" s="45">
        <f t="shared" ref="G5:G7" si="0">E5-F5</f>
        <v>-3.0759999999999934</v>
      </c>
      <c r="K5" s="48">
        <v>2889.19</v>
      </c>
      <c r="L5" s="50">
        <v>385.07900000000001</v>
      </c>
      <c r="M5" s="53"/>
    </row>
    <row r="6" spans="1:13" x14ac:dyDescent="0.25">
      <c r="A6" s="1" t="s">
        <v>52</v>
      </c>
      <c r="B6" s="2">
        <v>0</v>
      </c>
      <c r="D6" s="48">
        <v>3727.5</v>
      </c>
      <c r="E6" s="45">
        <f>128.687+180</f>
        <v>308.68700000000001</v>
      </c>
      <c r="F6" s="45">
        <f>130.624+180</f>
        <v>310.62400000000002</v>
      </c>
      <c r="G6" s="45">
        <f t="shared" si="0"/>
        <v>-1.9370000000000118</v>
      </c>
      <c r="I6" s="1" t="s">
        <v>59</v>
      </c>
      <c r="K6" s="48">
        <v>3727.5</v>
      </c>
      <c r="L6" s="50">
        <v>254.678</v>
      </c>
      <c r="M6" s="53" t="s">
        <v>59</v>
      </c>
    </row>
    <row r="7" spans="1:13" x14ac:dyDescent="0.25">
      <c r="D7" s="49">
        <v>6596.97</v>
      </c>
      <c r="E7" s="46">
        <v>49.375999999999998</v>
      </c>
      <c r="F7" s="46">
        <v>49.380099999999999</v>
      </c>
      <c r="G7" s="46">
        <f t="shared" si="0"/>
        <v>-4.1000000000011028E-3</v>
      </c>
      <c r="I7" s="1" t="s">
        <v>60</v>
      </c>
      <c r="K7" s="49">
        <v>6596.97</v>
      </c>
      <c r="L7" s="52">
        <v>0.50600000000000001</v>
      </c>
      <c r="M7" s="54" t="s">
        <v>60</v>
      </c>
    </row>
    <row r="8" spans="1:13" x14ac:dyDescent="0.25">
      <c r="A8" s="1" t="s">
        <v>50</v>
      </c>
      <c r="B8" s="2">
        <v>6828.87</v>
      </c>
      <c r="D8" s="42"/>
      <c r="E8" s="42"/>
      <c r="F8" s="42"/>
      <c r="G8" s="42"/>
    </row>
    <row r="9" spans="1:13" x14ac:dyDescent="0.25">
      <c r="A9" s="1" t="s">
        <v>51</v>
      </c>
      <c r="B9" s="2">
        <v>-838.23400000000004</v>
      </c>
      <c r="D9" s="42"/>
      <c r="E9" s="42"/>
      <c r="F9" s="42"/>
      <c r="G9" s="42"/>
    </row>
    <row r="10" spans="1:13" x14ac:dyDescent="0.25">
      <c r="A10" s="1" t="s">
        <v>53</v>
      </c>
      <c r="B10" s="2">
        <v>-7</v>
      </c>
    </row>
    <row r="11" spans="1:13" x14ac:dyDescent="0.25">
      <c r="A11" s="1" t="s">
        <v>54</v>
      </c>
      <c r="B11" s="4">
        <f>B6+B10</f>
        <v>-7</v>
      </c>
    </row>
    <row r="12" spans="1:13" x14ac:dyDescent="0.25">
      <c r="A12" s="1" t="s">
        <v>55</v>
      </c>
      <c r="B12" s="1">
        <f>RADIANS(B11)</f>
        <v>-0.12217304763960307</v>
      </c>
    </row>
    <row r="13" spans="1:13" x14ac:dyDescent="0.25">
      <c r="A13" s="1" t="s">
        <v>56</v>
      </c>
      <c r="B13" s="4">
        <f>SQRT((B4-B8)^2+(B5-B9)^2)</f>
        <v>851.42103078089406</v>
      </c>
    </row>
  </sheetData>
  <mergeCells count="2">
    <mergeCell ref="E2:G2"/>
    <mergeCell ref="D2:D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4500-5830-40AE-8E4D-4ACC798B47BB}">
  <dimension ref="B1:Q102"/>
  <sheetViews>
    <sheetView showGridLines="0" tabSelected="1" topLeftCell="D1" zoomScale="160" zoomScaleNormal="160" workbookViewId="0">
      <selection activeCell="K11" sqref="K11"/>
    </sheetView>
  </sheetViews>
  <sheetFormatPr defaultRowHeight="12.75" x14ac:dyDescent="0.25"/>
  <cols>
    <col min="1" max="1" width="1.42578125" style="55" customWidth="1"/>
    <col min="2" max="2" width="48.42578125" style="55" bestFit="1" customWidth="1"/>
    <col min="3" max="3" width="27.85546875" style="55" bestFit="1" customWidth="1"/>
    <col min="4" max="4" width="4.5703125" style="55" bestFit="1" customWidth="1"/>
    <col min="5" max="5" width="5.140625" style="55" bestFit="1" customWidth="1"/>
    <col min="6" max="6" width="26.140625" style="55" customWidth="1"/>
    <col min="7" max="7" width="9.5703125" style="55" bestFit="1" customWidth="1"/>
    <col min="8" max="8" width="1.42578125" style="55" customWidth="1"/>
    <col min="9" max="9" width="33.140625" style="55" bestFit="1" customWidth="1"/>
    <col min="10" max="10" width="8.5703125" style="55" bestFit="1" customWidth="1"/>
    <col min="11" max="12" width="10" style="55" bestFit="1" customWidth="1"/>
    <col min="13" max="13" width="9.7109375" style="55" bestFit="1" customWidth="1"/>
    <col min="14" max="14" width="12.85546875" style="55" bestFit="1" customWidth="1"/>
    <col min="15" max="15" width="9.140625" style="55"/>
    <col min="16" max="16" width="8.140625" style="55" bestFit="1" customWidth="1"/>
    <col min="17" max="17" width="31.28515625" style="55" bestFit="1" customWidth="1"/>
    <col min="18" max="16384" width="9.140625" style="55"/>
  </cols>
  <sheetData>
    <row r="1" spans="2:17" x14ac:dyDescent="0.25">
      <c r="C1" s="58"/>
      <c r="D1" s="58"/>
      <c r="E1" s="58"/>
      <c r="F1" s="58"/>
      <c r="G1" s="58"/>
    </row>
    <row r="2" spans="2:17" x14ac:dyDescent="0.25">
      <c r="B2" s="55" t="s">
        <v>93</v>
      </c>
      <c r="C2" s="108">
        <v>3727.5</v>
      </c>
      <c r="D2" s="96">
        <f>C2/3600</f>
        <v>1.0354166666666667</v>
      </c>
      <c r="E2" s="96"/>
      <c r="F2" s="108">
        <v>31134</v>
      </c>
      <c r="G2" s="96">
        <f>F2/3600</f>
        <v>8.6483333333333334</v>
      </c>
      <c r="I2" s="71" t="s">
        <v>3</v>
      </c>
      <c r="J2" s="71" t="s">
        <v>4</v>
      </c>
      <c r="K2" s="71" t="s">
        <v>124</v>
      </c>
      <c r="L2" s="67" t="s">
        <v>125</v>
      </c>
      <c r="M2" s="67" t="s">
        <v>58</v>
      </c>
      <c r="N2" s="67" t="s">
        <v>133</v>
      </c>
      <c r="P2" s="67" t="s">
        <v>120</v>
      </c>
      <c r="Q2" s="66" t="s">
        <v>121</v>
      </c>
    </row>
    <row r="3" spans="2:17" x14ac:dyDescent="0.25">
      <c r="B3" s="55" t="s">
        <v>92</v>
      </c>
      <c r="C3" s="108">
        <v>2869.5</v>
      </c>
      <c r="D3" s="96">
        <f t="shared" ref="D3:D4" si="0">C3/3600</f>
        <v>0.79708333333333337</v>
      </c>
      <c r="E3" s="96"/>
      <c r="F3" s="108">
        <v>2838.5</v>
      </c>
      <c r="G3" s="96">
        <f t="shared" ref="G3:G4" si="1">F3/3600</f>
        <v>0.78847222222222224</v>
      </c>
      <c r="I3" s="69" t="s">
        <v>129</v>
      </c>
      <c r="J3" s="68" t="s">
        <v>131</v>
      </c>
      <c r="K3" s="75">
        <v>500</v>
      </c>
      <c r="L3" s="75">
        <v>400</v>
      </c>
      <c r="M3" s="75">
        <f>L3-K3</f>
        <v>-100</v>
      </c>
      <c r="N3" s="72">
        <f>(L3-K3)/K3</f>
        <v>-0.2</v>
      </c>
      <c r="P3" s="64" t="s">
        <v>118</v>
      </c>
      <c r="Q3" s="62" t="s">
        <v>123</v>
      </c>
    </row>
    <row r="4" spans="2:17" x14ac:dyDescent="0.25">
      <c r="B4" s="55" t="s">
        <v>94</v>
      </c>
      <c r="C4" s="108">
        <v>6597</v>
      </c>
      <c r="D4" s="96">
        <f t="shared" si="0"/>
        <v>1.8325</v>
      </c>
      <c r="E4" s="96"/>
      <c r="F4" s="108">
        <v>33972</v>
      </c>
      <c r="G4" s="96">
        <f t="shared" si="1"/>
        <v>9.4366666666666674</v>
      </c>
      <c r="I4" s="69" t="s">
        <v>130</v>
      </c>
      <c r="J4" s="68" t="s">
        <v>131</v>
      </c>
      <c r="K4" s="75">
        <v>599.9</v>
      </c>
      <c r="L4" s="75">
        <v>599.9</v>
      </c>
      <c r="M4" s="75">
        <f t="shared" ref="M4:M8" si="2">L4-K4</f>
        <v>0</v>
      </c>
      <c r="N4" s="72">
        <f t="shared" ref="N4:N10" si="3">(L4-K4)/K4</f>
        <v>0</v>
      </c>
      <c r="P4" s="65" t="s">
        <v>119</v>
      </c>
      <c r="Q4" s="63" t="s">
        <v>122</v>
      </c>
    </row>
    <row r="5" spans="2:17" x14ac:dyDescent="0.25">
      <c r="B5" s="59" t="s">
        <v>65</v>
      </c>
      <c r="C5" s="97">
        <v>27.3933</v>
      </c>
      <c r="D5" s="97"/>
      <c r="E5" s="97"/>
      <c r="F5" s="97">
        <v>55.517499999999998</v>
      </c>
      <c r="G5" s="98"/>
      <c r="I5" s="69" t="s">
        <v>132</v>
      </c>
      <c r="J5" s="68" t="s">
        <v>131</v>
      </c>
      <c r="K5" s="75">
        <v>600</v>
      </c>
      <c r="L5" s="75">
        <v>600</v>
      </c>
      <c r="M5" s="75">
        <f t="shared" si="2"/>
        <v>0</v>
      </c>
      <c r="N5" s="72">
        <f t="shared" si="3"/>
        <v>0</v>
      </c>
    </row>
    <row r="6" spans="2:17" x14ac:dyDescent="0.25">
      <c r="B6" s="59" t="s">
        <v>66</v>
      </c>
      <c r="C6" s="97">
        <v>27.294799999999999</v>
      </c>
      <c r="D6" s="97"/>
      <c r="E6" s="97"/>
      <c r="F6" s="97">
        <v>55.115499999999997</v>
      </c>
      <c r="G6" s="98"/>
      <c r="I6" s="69" t="s">
        <v>126</v>
      </c>
      <c r="J6" s="68" t="s">
        <v>5</v>
      </c>
      <c r="K6" s="77">
        <v>3728</v>
      </c>
      <c r="L6" s="77">
        <v>31134</v>
      </c>
      <c r="M6" s="77">
        <f>L6-K6</f>
        <v>27406</v>
      </c>
      <c r="N6" s="72">
        <f t="shared" si="3"/>
        <v>7.3513948497854074</v>
      </c>
    </row>
    <row r="7" spans="2:17" x14ac:dyDescent="0.25">
      <c r="B7" s="59" t="s">
        <v>95</v>
      </c>
      <c r="C7" s="97">
        <v>54.688099999999999</v>
      </c>
      <c r="D7" s="97"/>
      <c r="E7" s="97"/>
      <c r="F7" s="97">
        <v>110.633</v>
      </c>
      <c r="G7" s="98"/>
      <c r="I7" s="69" t="s">
        <v>128</v>
      </c>
      <c r="J7" s="68" t="s">
        <v>5</v>
      </c>
      <c r="K7" s="77">
        <v>2870</v>
      </c>
      <c r="L7" s="77">
        <v>2839</v>
      </c>
      <c r="M7" s="77">
        <f t="shared" si="2"/>
        <v>-31</v>
      </c>
      <c r="N7" s="72">
        <f t="shared" si="3"/>
        <v>-1.0801393728222997E-2</v>
      </c>
    </row>
    <row r="8" spans="2:17" x14ac:dyDescent="0.25">
      <c r="B8" s="60" t="s">
        <v>96</v>
      </c>
      <c r="C8" s="99">
        <f>6878137/1000</f>
        <v>6878.1369999999997</v>
      </c>
      <c r="D8" s="99"/>
      <c r="E8" s="99"/>
      <c r="F8" s="99">
        <f>6778137/1000</f>
        <v>6778.1369999999997</v>
      </c>
      <c r="G8" s="100"/>
      <c r="I8" s="69" t="s">
        <v>127</v>
      </c>
      <c r="J8" s="68" t="s">
        <v>5</v>
      </c>
      <c r="K8" s="77">
        <f>SUM(K6:K7)</f>
        <v>6598</v>
      </c>
      <c r="L8" s="77">
        <v>33972</v>
      </c>
      <c r="M8" s="77">
        <f t="shared" si="2"/>
        <v>27374</v>
      </c>
      <c r="N8" s="72">
        <f t="shared" si="3"/>
        <v>4.1488329796908152</v>
      </c>
    </row>
    <row r="9" spans="2:17" x14ac:dyDescent="0.25">
      <c r="B9" s="60" t="s">
        <v>115</v>
      </c>
      <c r="C9" s="99">
        <f>C8-6378.137</f>
        <v>500</v>
      </c>
      <c r="D9" s="99"/>
      <c r="E9" s="99"/>
      <c r="F9" s="99">
        <f>F8-6378.137</f>
        <v>400</v>
      </c>
      <c r="G9" s="100"/>
      <c r="I9" s="69" t="s">
        <v>11</v>
      </c>
      <c r="J9" s="68" t="s">
        <v>5</v>
      </c>
      <c r="K9" s="77">
        <v>900</v>
      </c>
      <c r="L9" s="77">
        <v>900</v>
      </c>
      <c r="M9" s="77">
        <f t="shared" ref="M9" si="4">L9-K9</f>
        <v>0</v>
      </c>
      <c r="N9" s="72">
        <f t="shared" si="3"/>
        <v>0</v>
      </c>
    </row>
    <row r="10" spans="2:17" x14ac:dyDescent="0.25">
      <c r="B10" s="55" t="s">
        <v>97</v>
      </c>
      <c r="C10" s="96">
        <f>6978137/1000</f>
        <v>6978.1369999999997</v>
      </c>
      <c r="D10" s="96"/>
      <c r="E10" s="96"/>
      <c r="F10" s="96">
        <f>6978137/1000</f>
        <v>6978.1369999999997</v>
      </c>
      <c r="G10" s="101"/>
      <c r="I10" s="69" t="s">
        <v>177</v>
      </c>
      <c r="J10" s="68" t="s">
        <v>5</v>
      </c>
      <c r="K10" s="77">
        <f>SUM(K8:K9)</f>
        <v>7498</v>
      </c>
      <c r="L10" s="77">
        <f>L6+L7+L9</f>
        <v>34873</v>
      </c>
      <c r="M10" s="77">
        <f>L10-K10</f>
        <v>27375</v>
      </c>
      <c r="N10" s="72">
        <f t="shared" si="3"/>
        <v>3.6509735929581222</v>
      </c>
    </row>
    <row r="11" spans="2:17" x14ac:dyDescent="0.25">
      <c r="B11" s="55" t="s">
        <v>116</v>
      </c>
      <c r="C11" s="96">
        <f>C10-6378.137</f>
        <v>600</v>
      </c>
      <c r="D11" s="96"/>
      <c r="E11" s="96"/>
      <c r="F11" s="96">
        <f>F10-6378.137</f>
        <v>600</v>
      </c>
      <c r="G11" s="101"/>
    </row>
    <row r="12" spans="2:17" x14ac:dyDescent="0.25">
      <c r="B12" s="60" t="s">
        <v>98</v>
      </c>
      <c r="C12" s="99">
        <f>6978037/1000</f>
        <v>6978.0370000000003</v>
      </c>
      <c r="D12" s="99"/>
      <c r="E12" s="99"/>
      <c r="F12" s="99">
        <f>6978037/1000</f>
        <v>6978.0370000000003</v>
      </c>
      <c r="G12" s="100"/>
      <c r="I12" s="71" t="s">
        <v>3</v>
      </c>
      <c r="J12" s="71" t="s">
        <v>4</v>
      </c>
      <c r="K12" s="71" t="s">
        <v>124</v>
      </c>
      <c r="L12" s="67" t="s">
        <v>125</v>
      </c>
      <c r="M12" s="67" t="s">
        <v>58</v>
      </c>
      <c r="N12" s="67" t="s">
        <v>133</v>
      </c>
    </row>
    <row r="13" spans="2:17" x14ac:dyDescent="0.25">
      <c r="B13" s="60" t="s">
        <v>117</v>
      </c>
      <c r="C13" s="99">
        <f>C12-6378.137</f>
        <v>599.90000000000055</v>
      </c>
      <c r="D13" s="99"/>
      <c r="E13" s="99"/>
      <c r="F13" s="99">
        <f>F12-6378.137</f>
        <v>599.90000000000055</v>
      </c>
      <c r="G13" s="100"/>
      <c r="I13" s="69" t="s">
        <v>134</v>
      </c>
      <c r="J13" s="68" t="s">
        <v>21</v>
      </c>
      <c r="K13" s="70">
        <v>27.39</v>
      </c>
      <c r="L13" s="75">
        <v>55.52</v>
      </c>
      <c r="M13" s="75">
        <f>L13-K13</f>
        <v>28.130000000000003</v>
      </c>
      <c r="N13" s="72">
        <f>(L13-K13)/K13</f>
        <v>1.0270171595472801</v>
      </c>
    </row>
    <row r="14" spans="2:17" x14ac:dyDescent="0.25">
      <c r="B14" s="61" t="s">
        <v>99</v>
      </c>
      <c r="C14" s="109">
        <f>C15*PI()/180</f>
        <v>-0.12217304763960307</v>
      </c>
      <c r="D14" s="109"/>
      <c r="E14" s="109"/>
      <c r="F14" s="109">
        <f>F15*PI()/180</f>
        <v>-1.5707963267948966</v>
      </c>
      <c r="G14" s="101"/>
      <c r="I14" s="69" t="s">
        <v>135</v>
      </c>
      <c r="J14" s="68" t="s">
        <v>21</v>
      </c>
      <c r="K14" s="70">
        <v>27.29</v>
      </c>
      <c r="L14" s="75">
        <v>55.12</v>
      </c>
      <c r="M14" s="75">
        <f>L14-K14</f>
        <v>27.83</v>
      </c>
      <c r="N14" s="72">
        <f>(L14-K14)/K14</f>
        <v>1.0197874679369732</v>
      </c>
    </row>
    <row r="15" spans="2:17" x14ac:dyDescent="0.25">
      <c r="B15" s="55" t="s">
        <v>100</v>
      </c>
      <c r="C15" s="108">
        <v>-7</v>
      </c>
      <c r="D15" s="108"/>
      <c r="E15" s="108"/>
      <c r="F15" s="108">
        <v>-90</v>
      </c>
      <c r="G15" s="101"/>
      <c r="I15" s="69" t="s">
        <v>136</v>
      </c>
      <c r="J15" s="68" t="s">
        <v>21</v>
      </c>
      <c r="K15" s="70">
        <v>54.69</v>
      </c>
      <c r="L15" s="75">
        <v>110.63</v>
      </c>
      <c r="M15" s="75">
        <f>L15-K15</f>
        <v>55.94</v>
      </c>
      <c r="N15" s="72">
        <f>(L15-K15)/K15</f>
        <v>1.0228560980069483</v>
      </c>
    </row>
    <row r="16" spans="2:17" x14ac:dyDescent="0.25">
      <c r="B16" s="55" t="s">
        <v>67</v>
      </c>
      <c r="C16" s="106">
        <v>7.1651999999999998E-5</v>
      </c>
      <c r="D16" s="106"/>
      <c r="E16" s="106"/>
      <c r="F16" s="106">
        <v>7.1651999999999998E-5</v>
      </c>
      <c r="G16" s="101"/>
    </row>
    <row r="17" spans="2:12" x14ac:dyDescent="0.25">
      <c r="B17" s="55" t="s">
        <v>68</v>
      </c>
      <c r="C17" s="106">
        <v>7.1651999999999998E-5</v>
      </c>
      <c r="D17" s="106"/>
      <c r="E17" s="106"/>
      <c r="F17" s="106">
        <v>7.1651999999999998E-5</v>
      </c>
      <c r="G17" s="101"/>
      <c r="I17" s="71" t="s">
        <v>3</v>
      </c>
      <c r="J17" s="71" t="s">
        <v>4</v>
      </c>
      <c r="K17" s="71" t="s">
        <v>124</v>
      </c>
      <c r="L17" s="67" t="s">
        <v>125</v>
      </c>
    </row>
    <row r="18" spans="2:12" x14ac:dyDescent="0.25">
      <c r="B18" s="112" t="s">
        <v>86</v>
      </c>
      <c r="C18" s="104">
        <v>4.0033667700000004</v>
      </c>
      <c r="D18" s="104"/>
      <c r="E18" s="104"/>
      <c r="F18" s="104">
        <v>2.2367183800000001</v>
      </c>
      <c r="G18" s="101"/>
      <c r="I18" s="69" t="s">
        <v>139</v>
      </c>
      <c r="J18" s="68" t="s">
        <v>143</v>
      </c>
      <c r="K18" s="75">
        <f>K24*180/PI()</f>
        <v>229.37601976392057</v>
      </c>
      <c r="L18" s="75">
        <f>L24*180/PI()</f>
        <v>128.1545231333387</v>
      </c>
    </row>
    <row r="19" spans="2:12" x14ac:dyDescent="0.25">
      <c r="B19" s="113" t="s">
        <v>87</v>
      </c>
      <c r="C19" s="102">
        <f>C18*180/PI()</f>
        <v>229.37601976392057</v>
      </c>
      <c r="D19" s="102"/>
      <c r="E19" s="102"/>
      <c r="F19" s="102">
        <f>F18*180/PI()</f>
        <v>128.1545231333387</v>
      </c>
      <c r="G19" s="101"/>
      <c r="I19" s="69" t="s">
        <v>140</v>
      </c>
      <c r="J19" s="68" t="s">
        <v>143</v>
      </c>
      <c r="K19" s="75">
        <f t="shared" ref="K19:K21" si="5">K25*180/PI()</f>
        <v>231.31319694475138</v>
      </c>
      <c r="L19" s="75">
        <f t="shared" ref="L19:L21" si="6">L25*180/PI()</f>
        <v>132.01588166629122</v>
      </c>
    </row>
    <row r="20" spans="2:12" x14ac:dyDescent="0.25">
      <c r="B20" s="112" t="s">
        <v>137</v>
      </c>
      <c r="C20" s="104">
        <v>4.0371768899999996</v>
      </c>
      <c r="D20" s="104"/>
      <c r="E20" s="104"/>
      <c r="F20" s="104">
        <v>2.3041117999999998</v>
      </c>
      <c r="G20" s="101"/>
      <c r="I20" s="69" t="s">
        <v>141</v>
      </c>
      <c r="J20" s="68" t="s">
        <v>143</v>
      </c>
      <c r="K20" s="75">
        <f t="shared" si="5"/>
        <v>49.376020013374522</v>
      </c>
      <c r="L20" s="75">
        <f>L26*180/PI()</f>
        <v>308.1545232724647</v>
      </c>
    </row>
    <row r="21" spans="2:12" x14ac:dyDescent="0.25">
      <c r="B21" s="113" t="s">
        <v>138</v>
      </c>
      <c r="C21" s="102">
        <f>C20*180/PI()</f>
        <v>231.31319694475138</v>
      </c>
      <c r="D21" s="102"/>
      <c r="E21" s="102"/>
      <c r="F21" s="102">
        <f>F20*180/PI()</f>
        <v>132.01588166629122</v>
      </c>
      <c r="G21" s="101"/>
      <c r="I21" s="69" t="s">
        <v>142</v>
      </c>
      <c r="J21" s="68" t="s">
        <v>143</v>
      </c>
      <c r="K21" s="75">
        <f t="shared" si="5"/>
        <v>49.380125391309271</v>
      </c>
      <c r="L21" s="75">
        <f t="shared" si="6"/>
        <v>308.15862865039941</v>
      </c>
    </row>
    <row r="22" spans="2:12" x14ac:dyDescent="0.25">
      <c r="B22" s="114" t="s">
        <v>90</v>
      </c>
      <c r="C22" s="105">
        <v>0.86177412076399995</v>
      </c>
      <c r="D22" s="105"/>
      <c r="E22" s="105"/>
      <c r="F22" s="105">
        <v>5.3783110360180002</v>
      </c>
      <c r="G22" s="101"/>
      <c r="K22" s="57"/>
      <c r="L22" s="57"/>
    </row>
    <row r="23" spans="2:12" x14ac:dyDescent="0.25">
      <c r="B23" s="115" t="s">
        <v>91</v>
      </c>
      <c r="C23" s="103">
        <f>C22*180/PI()</f>
        <v>49.376020013374522</v>
      </c>
      <c r="D23" s="103"/>
      <c r="E23" s="103"/>
      <c r="F23" s="103">
        <f>F22*180/PI()</f>
        <v>308.1545232724647</v>
      </c>
      <c r="G23" s="101"/>
      <c r="I23" s="71" t="s">
        <v>3</v>
      </c>
      <c r="J23" s="71" t="s">
        <v>4</v>
      </c>
      <c r="K23" s="71" t="s">
        <v>124</v>
      </c>
      <c r="L23" s="67" t="s">
        <v>125</v>
      </c>
    </row>
    <row r="24" spans="2:12" x14ac:dyDescent="0.25">
      <c r="B24" s="114" t="s">
        <v>88</v>
      </c>
      <c r="C24" s="105">
        <v>0.86184577312599997</v>
      </c>
      <c r="D24" s="105"/>
      <c r="E24" s="105"/>
      <c r="F24" s="105">
        <v>5.3783826883800003</v>
      </c>
      <c r="G24" s="101"/>
      <c r="I24" s="69" t="s">
        <v>139</v>
      </c>
      <c r="J24" s="68" t="s">
        <v>176</v>
      </c>
      <c r="K24" s="78">
        <v>4.0033667700000004</v>
      </c>
      <c r="L24" s="78">
        <v>2.2367183800000001</v>
      </c>
    </row>
    <row r="25" spans="2:12" x14ac:dyDescent="0.25">
      <c r="B25" s="115" t="s">
        <v>89</v>
      </c>
      <c r="C25" s="103">
        <f>C24*180/PI()</f>
        <v>49.380125391309271</v>
      </c>
      <c r="D25" s="103"/>
      <c r="E25" s="103"/>
      <c r="F25" s="103">
        <f>F24*180/PI()</f>
        <v>308.15862865039941</v>
      </c>
      <c r="G25" s="101"/>
      <c r="I25" s="69" t="s">
        <v>140</v>
      </c>
      <c r="J25" s="68" t="s">
        <v>176</v>
      </c>
      <c r="K25" s="78">
        <v>4.0371768899999996</v>
      </c>
      <c r="L25" s="78">
        <v>2.3041117999999998</v>
      </c>
    </row>
    <row r="26" spans="2:12" x14ac:dyDescent="0.25">
      <c r="B26" s="55" t="s">
        <v>69</v>
      </c>
      <c r="C26" s="108">
        <v>265050</v>
      </c>
      <c r="D26" s="108"/>
      <c r="E26" s="108"/>
      <c r="F26" s="108">
        <v>130120</v>
      </c>
      <c r="G26" s="101"/>
      <c r="I26" s="69" t="s">
        <v>141</v>
      </c>
      <c r="J26" s="68" t="s">
        <v>176</v>
      </c>
      <c r="K26" s="79">
        <v>0.86177412076399995</v>
      </c>
      <c r="L26" s="79">
        <v>5.3783110360180002</v>
      </c>
    </row>
    <row r="27" spans="2:12" x14ac:dyDescent="0.25">
      <c r="B27" s="55" t="s">
        <v>70</v>
      </c>
      <c r="C27" s="108">
        <v>5</v>
      </c>
      <c r="D27" s="108"/>
      <c r="E27" s="108"/>
      <c r="F27" s="108">
        <v>5</v>
      </c>
      <c r="G27" s="101"/>
      <c r="I27" s="69" t="s">
        <v>142</v>
      </c>
      <c r="J27" s="68" t="s">
        <v>176</v>
      </c>
      <c r="K27" s="79">
        <v>0.86184577312599997</v>
      </c>
      <c r="L27" s="79">
        <v>5.3783826883800003</v>
      </c>
    </row>
    <row r="28" spans="2:12" x14ac:dyDescent="0.25">
      <c r="B28" s="55" t="s">
        <v>71</v>
      </c>
      <c r="C28" s="108">
        <v>1</v>
      </c>
      <c r="D28" s="108"/>
      <c r="E28" s="108"/>
      <c r="F28" s="108">
        <v>1</v>
      </c>
      <c r="G28" s="101"/>
    </row>
    <row r="29" spans="2:12" x14ac:dyDescent="0.25">
      <c r="B29" s="59" t="s">
        <v>72</v>
      </c>
      <c r="C29" s="107">
        <v>-500</v>
      </c>
      <c r="D29" s="107"/>
      <c r="E29" s="107"/>
      <c r="F29" s="107">
        <v>-500</v>
      </c>
      <c r="G29" s="101"/>
    </row>
    <row r="30" spans="2:12" x14ac:dyDescent="0.25">
      <c r="B30" s="59" t="s">
        <v>73</v>
      </c>
      <c r="C30" s="107">
        <v>-499.99279999999999</v>
      </c>
      <c r="D30" s="107"/>
      <c r="E30" s="107"/>
      <c r="F30" s="107">
        <v>-499.99279999999999</v>
      </c>
      <c r="G30" s="101"/>
      <c r="I30" s="74" t="s">
        <v>203</v>
      </c>
      <c r="J30" s="82"/>
      <c r="K30" s="74"/>
      <c r="L30" s="74"/>
    </row>
    <row r="31" spans="2:12" x14ac:dyDescent="0.25">
      <c r="B31" s="55" t="s">
        <v>74</v>
      </c>
      <c r="C31" s="106">
        <v>-100</v>
      </c>
      <c r="D31" s="106"/>
      <c r="E31" s="106"/>
      <c r="F31" s="106">
        <v>-100</v>
      </c>
      <c r="G31" s="101"/>
    </row>
    <row r="32" spans="2:12" x14ac:dyDescent="0.25">
      <c r="B32" s="55" t="s">
        <v>75</v>
      </c>
      <c r="C32" s="106">
        <v>-100.0179</v>
      </c>
      <c r="D32" s="106"/>
      <c r="E32" s="106"/>
      <c r="F32" s="106">
        <v>-100.0179</v>
      </c>
      <c r="G32" s="101"/>
      <c r="I32" s="67" t="s">
        <v>201</v>
      </c>
      <c r="J32" s="67" t="s">
        <v>4</v>
      </c>
      <c r="K32" s="67" t="s">
        <v>124</v>
      </c>
      <c r="L32" s="67" t="s">
        <v>125</v>
      </c>
    </row>
    <row r="33" spans="2:12" x14ac:dyDescent="0.25">
      <c r="B33" s="55" t="s">
        <v>76</v>
      </c>
      <c r="C33" s="106">
        <v>0</v>
      </c>
      <c r="D33" s="106"/>
      <c r="E33" s="106"/>
      <c r="F33" s="106">
        <v>0</v>
      </c>
      <c r="G33" s="101"/>
      <c r="I33" s="69" t="s">
        <v>195</v>
      </c>
      <c r="J33" s="68" t="s">
        <v>131</v>
      </c>
      <c r="K33" s="76">
        <v>6978.04</v>
      </c>
      <c r="L33" s="76">
        <v>6978.04</v>
      </c>
    </row>
    <row r="34" spans="2:12" x14ac:dyDescent="0.25">
      <c r="B34" s="55" t="s">
        <v>77</v>
      </c>
      <c r="C34" s="106">
        <v>0</v>
      </c>
      <c r="D34" s="106"/>
      <c r="E34" s="106"/>
      <c r="F34" s="106">
        <v>0</v>
      </c>
      <c r="G34" s="101"/>
      <c r="I34" s="69" t="s">
        <v>196</v>
      </c>
      <c r="J34" s="68"/>
      <c r="K34" s="80">
        <v>0</v>
      </c>
      <c r="L34" s="80">
        <v>0</v>
      </c>
    </row>
    <row r="35" spans="2:12" x14ac:dyDescent="0.25">
      <c r="B35" s="55" t="s">
        <v>78</v>
      </c>
      <c r="C35" s="106">
        <v>4.7885999999999996E-16</v>
      </c>
      <c r="D35" s="106"/>
      <c r="E35" s="106"/>
      <c r="F35" s="106">
        <v>2.2552E-15</v>
      </c>
      <c r="G35" s="101"/>
      <c r="I35" s="69" t="s">
        <v>197</v>
      </c>
      <c r="J35" s="68" t="s">
        <v>143</v>
      </c>
      <c r="K35" s="80">
        <v>0</v>
      </c>
      <c r="L35" s="80">
        <v>0</v>
      </c>
    </row>
    <row r="36" spans="2:12" x14ac:dyDescent="0.25">
      <c r="B36" s="55" t="s">
        <v>79</v>
      </c>
      <c r="C36" s="106">
        <v>7.1651999999999996E-7</v>
      </c>
      <c r="D36" s="106"/>
      <c r="E36" s="106"/>
      <c r="F36" s="106">
        <v>7.1651999999999996E-7</v>
      </c>
      <c r="G36" s="101"/>
      <c r="I36" s="69" t="s">
        <v>198</v>
      </c>
      <c r="J36" s="68" t="s">
        <v>143</v>
      </c>
      <c r="K36" s="80">
        <v>0</v>
      </c>
      <c r="L36" s="80">
        <v>0</v>
      </c>
    </row>
    <row r="37" spans="2:12" x14ac:dyDescent="0.25">
      <c r="B37" s="55" t="s">
        <v>80</v>
      </c>
      <c r="C37" s="106">
        <v>7.1999999999999998E-3</v>
      </c>
      <c r="D37" s="106"/>
      <c r="E37" s="106"/>
      <c r="F37" s="106">
        <v>7.1999999999999998E-3</v>
      </c>
      <c r="G37" s="101"/>
      <c r="I37" s="69" t="s">
        <v>199</v>
      </c>
      <c r="J37" s="68" t="s">
        <v>143</v>
      </c>
      <c r="K37" s="80">
        <v>0</v>
      </c>
      <c r="L37" s="80">
        <v>0</v>
      </c>
    </row>
    <row r="38" spans="2:12" x14ac:dyDescent="0.25">
      <c r="B38" s="55" t="s">
        <v>81</v>
      </c>
      <c r="C38" s="106">
        <v>5</v>
      </c>
      <c r="D38" s="106"/>
      <c r="E38" s="106"/>
      <c r="F38" s="106">
        <v>5</v>
      </c>
      <c r="G38" s="101"/>
      <c r="I38" s="69" t="s">
        <v>200</v>
      </c>
      <c r="J38" s="68" t="s">
        <v>143</v>
      </c>
      <c r="K38" s="80">
        <v>0</v>
      </c>
      <c r="L38" s="80">
        <v>0</v>
      </c>
    </row>
    <row r="39" spans="2:12" x14ac:dyDescent="0.25">
      <c r="B39" s="55" t="s">
        <v>82</v>
      </c>
      <c r="C39" s="106">
        <v>1.7899999999999999E-2</v>
      </c>
      <c r="D39" s="106"/>
      <c r="E39" s="106"/>
      <c r="F39" s="106">
        <v>1.7899999999999999E-2</v>
      </c>
      <c r="G39" s="101"/>
    </row>
    <row r="40" spans="2:12" x14ac:dyDescent="0.25">
      <c r="B40" s="55" t="s">
        <v>83</v>
      </c>
      <c r="C40" s="106">
        <v>1</v>
      </c>
      <c r="D40" s="106"/>
      <c r="E40" s="106"/>
      <c r="F40" s="106">
        <v>1</v>
      </c>
      <c r="G40" s="101"/>
      <c r="I40" s="67" t="s">
        <v>202</v>
      </c>
      <c r="J40" s="67" t="s">
        <v>4</v>
      </c>
      <c r="K40" s="67" t="s">
        <v>124</v>
      </c>
      <c r="L40" s="67" t="s">
        <v>125</v>
      </c>
    </row>
    <row r="41" spans="2:12" x14ac:dyDescent="0.25">
      <c r="B41" s="55" t="s">
        <v>84</v>
      </c>
      <c r="C41" s="106">
        <v>0</v>
      </c>
      <c r="D41" s="106"/>
      <c r="E41" s="106"/>
      <c r="F41" s="106">
        <v>0</v>
      </c>
      <c r="G41" s="101"/>
      <c r="I41" s="69" t="s">
        <v>195</v>
      </c>
      <c r="J41" s="68" t="s">
        <v>131</v>
      </c>
      <c r="K41" s="76">
        <v>6978.14</v>
      </c>
      <c r="L41" s="76">
        <v>6978.14</v>
      </c>
    </row>
    <row r="42" spans="2:12" x14ac:dyDescent="0.25">
      <c r="B42" s="55" t="s">
        <v>85</v>
      </c>
      <c r="C42" s="106">
        <v>0</v>
      </c>
      <c r="D42" s="106"/>
      <c r="E42" s="106"/>
      <c r="F42" s="106">
        <v>0</v>
      </c>
      <c r="G42" s="101"/>
      <c r="I42" s="69" t="s">
        <v>196</v>
      </c>
      <c r="J42" s="68"/>
      <c r="K42" s="80">
        <v>0</v>
      </c>
      <c r="L42" s="80">
        <v>0</v>
      </c>
    </row>
    <row r="43" spans="2:12" x14ac:dyDescent="0.25">
      <c r="C43" s="96"/>
      <c r="D43" s="96"/>
      <c r="E43" s="96"/>
      <c r="F43" s="96"/>
      <c r="G43" s="101"/>
      <c r="I43" s="69" t="s">
        <v>197</v>
      </c>
      <c r="J43" s="68" t="s">
        <v>143</v>
      </c>
      <c r="K43" s="80">
        <v>0</v>
      </c>
      <c r="L43" s="80">
        <v>0</v>
      </c>
    </row>
    <row r="44" spans="2:12" x14ac:dyDescent="0.25">
      <c r="B44" s="55" t="s">
        <v>103</v>
      </c>
      <c r="C44" s="110">
        <v>-100.0179</v>
      </c>
      <c r="D44" s="110"/>
      <c r="E44" s="110"/>
      <c r="F44" s="110">
        <v>-100.0179</v>
      </c>
      <c r="G44" s="101"/>
      <c r="I44" s="69" t="s">
        <v>198</v>
      </c>
      <c r="J44" s="68" t="s">
        <v>143</v>
      </c>
      <c r="K44" s="80">
        <v>0</v>
      </c>
      <c r="L44" s="80">
        <v>0</v>
      </c>
    </row>
    <row r="45" spans="2:12" x14ac:dyDescent="0.25">
      <c r="B45" s="55" t="s">
        <v>104</v>
      </c>
      <c r="C45" s="110">
        <v>-499.99279999999999</v>
      </c>
      <c r="D45" s="110"/>
      <c r="E45" s="110"/>
      <c r="F45" s="110">
        <v>-499.99279999999999</v>
      </c>
      <c r="G45" s="101"/>
      <c r="I45" s="69" t="s">
        <v>199</v>
      </c>
      <c r="J45" s="68" t="s">
        <v>143</v>
      </c>
      <c r="K45" s="80">
        <v>0</v>
      </c>
      <c r="L45" s="80">
        <v>0</v>
      </c>
    </row>
    <row r="46" spans="2:12" x14ac:dyDescent="0.25">
      <c r="B46" s="55" t="s">
        <v>105</v>
      </c>
      <c r="C46" s="110">
        <v>0</v>
      </c>
      <c r="D46" s="110"/>
      <c r="E46" s="110"/>
      <c r="F46" s="110">
        <v>0</v>
      </c>
      <c r="G46" s="101"/>
      <c r="I46" s="69" t="s">
        <v>200</v>
      </c>
      <c r="J46" s="68" t="s">
        <v>143</v>
      </c>
      <c r="K46" s="80">
        <v>0</v>
      </c>
      <c r="L46" s="80">
        <v>0</v>
      </c>
    </row>
    <row r="47" spans="2:12" x14ac:dyDescent="0.25">
      <c r="B47" s="55" t="s">
        <v>106</v>
      </c>
      <c r="C47" s="96">
        <v>1.1640999999999999E-5</v>
      </c>
      <c r="D47" s="96"/>
      <c r="E47" s="96"/>
      <c r="F47" s="96">
        <v>1.1640999999999999E-5</v>
      </c>
      <c r="G47" s="101"/>
    </row>
    <row r="48" spans="2:12" x14ac:dyDescent="0.25">
      <c r="B48" s="55" t="s">
        <v>107</v>
      </c>
      <c r="C48" s="96">
        <v>0.16250000000000001</v>
      </c>
      <c r="D48" s="96"/>
      <c r="E48" s="96"/>
      <c r="F48" s="96">
        <v>0.16250000000000001</v>
      </c>
      <c r="G48" s="101"/>
    </row>
    <row r="49" spans="2:7" x14ac:dyDescent="0.25">
      <c r="B49" s="55" t="s">
        <v>108</v>
      </c>
      <c r="C49" s="96">
        <v>0</v>
      </c>
      <c r="D49" s="96"/>
      <c r="E49" s="96"/>
      <c r="F49" s="96">
        <v>0</v>
      </c>
      <c r="G49" s="101"/>
    </row>
    <row r="50" spans="2:7" x14ac:dyDescent="0.25">
      <c r="C50" s="101"/>
      <c r="D50" s="101"/>
      <c r="E50" s="101"/>
      <c r="F50" s="101"/>
      <c r="G50" s="101"/>
    </row>
    <row r="51" spans="2:7" x14ac:dyDescent="0.25">
      <c r="B51" s="59" t="s">
        <v>109</v>
      </c>
      <c r="C51" s="97">
        <v>-100.009</v>
      </c>
      <c r="D51" s="97"/>
      <c r="E51" s="97"/>
      <c r="F51" s="97">
        <v>-100.009</v>
      </c>
      <c r="G51" s="101"/>
    </row>
    <row r="52" spans="2:7" x14ac:dyDescent="0.25">
      <c r="B52" s="59" t="s">
        <v>110</v>
      </c>
      <c r="C52" s="97">
        <v>-353.77679999999998</v>
      </c>
      <c r="D52" s="97"/>
      <c r="E52" s="97"/>
      <c r="F52" s="97">
        <v>-353.77679999999998</v>
      </c>
      <c r="G52" s="101"/>
    </row>
    <row r="53" spans="2:7" x14ac:dyDescent="0.25">
      <c r="B53" s="59" t="s">
        <v>111</v>
      </c>
      <c r="C53" s="97">
        <v>0</v>
      </c>
      <c r="D53" s="97"/>
      <c r="E53" s="97"/>
      <c r="F53" s="97">
        <v>0</v>
      </c>
      <c r="G53" s="101"/>
    </row>
    <row r="54" spans="2:7" x14ac:dyDescent="0.25">
      <c r="B54" s="116" t="s">
        <v>113</v>
      </c>
      <c r="C54" s="111">
        <v>8.2366E-6</v>
      </c>
      <c r="D54" s="111"/>
      <c r="E54" s="111"/>
      <c r="F54" s="111">
        <v>8.2366E-6</v>
      </c>
      <c r="G54" s="101"/>
    </row>
    <row r="55" spans="2:7" x14ac:dyDescent="0.25">
      <c r="B55" s="116" t="s">
        <v>112</v>
      </c>
      <c r="C55" s="111">
        <v>0.16250000000000001</v>
      </c>
      <c r="D55" s="111"/>
      <c r="E55" s="111"/>
      <c r="F55" s="111">
        <v>0.16250000000000001</v>
      </c>
      <c r="G55" s="101"/>
    </row>
    <row r="56" spans="2:7" x14ac:dyDescent="0.25">
      <c r="B56" s="116" t="s">
        <v>114</v>
      </c>
      <c r="C56" s="111">
        <v>0</v>
      </c>
      <c r="D56" s="111"/>
      <c r="E56" s="111"/>
      <c r="F56" s="111">
        <v>0</v>
      </c>
      <c r="G56" s="101"/>
    </row>
    <row r="57" spans="2:7" x14ac:dyDescent="0.25">
      <c r="C57" s="101"/>
      <c r="D57" s="101"/>
      <c r="E57" s="101"/>
      <c r="F57" s="101"/>
      <c r="G57" s="101"/>
    </row>
    <row r="58" spans="2:7" x14ac:dyDescent="0.25">
      <c r="B58" s="55" t="s">
        <v>101</v>
      </c>
      <c r="C58" s="96">
        <v>7497</v>
      </c>
      <c r="D58" s="96"/>
      <c r="E58" s="96"/>
      <c r="F58" s="96">
        <v>34872</v>
      </c>
      <c r="G58" s="101"/>
    </row>
    <row r="59" spans="2:7" x14ac:dyDescent="0.25">
      <c r="B59" s="55" t="s">
        <v>102</v>
      </c>
      <c r="C59" s="96">
        <v>900</v>
      </c>
      <c r="D59" s="96"/>
      <c r="E59" s="96"/>
      <c r="F59" s="96">
        <v>900</v>
      </c>
      <c r="G59" s="101"/>
    </row>
    <row r="61" spans="2:7" x14ac:dyDescent="0.25">
      <c r="D61" s="56"/>
      <c r="E61" s="56"/>
    </row>
    <row r="62" spans="2:7" x14ac:dyDescent="0.25">
      <c r="D62" s="56"/>
      <c r="E62" s="56"/>
    </row>
    <row r="63" spans="2:7" x14ac:dyDescent="0.25">
      <c r="D63" s="56"/>
      <c r="E63" s="56"/>
    </row>
    <row r="64" spans="2:7" x14ac:dyDescent="0.25">
      <c r="B64" s="74" t="s">
        <v>175</v>
      </c>
      <c r="C64" s="81"/>
      <c r="D64" s="73"/>
      <c r="E64" s="56"/>
      <c r="F64" s="61" t="s">
        <v>204</v>
      </c>
    </row>
    <row r="65" spans="2:7" x14ac:dyDescent="0.25">
      <c r="D65" s="73"/>
      <c r="E65" s="56"/>
      <c r="F65" s="55" t="s">
        <v>34</v>
      </c>
      <c r="G65" s="95">
        <v>-100.009</v>
      </c>
    </row>
    <row r="66" spans="2:7" x14ac:dyDescent="0.25">
      <c r="B66" s="67" t="s">
        <v>3</v>
      </c>
      <c r="C66" s="67" t="s">
        <v>178</v>
      </c>
      <c r="D66" s="73"/>
      <c r="E66" s="56"/>
      <c r="F66" s="55" t="s">
        <v>27</v>
      </c>
      <c r="G66" s="95">
        <v>-353.77679999999998</v>
      </c>
    </row>
    <row r="67" spans="2:7" x14ac:dyDescent="0.25">
      <c r="B67" s="83" t="s">
        <v>144</v>
      </c>
      <c r="C67" s="86" t="s">
        <v>145</v>
      </c>
      <c r="D67" s="73"/>
      <c r="E67" s="56"/>
      <c r="F67" s="55" t="s">
        <v>33</v>
      </c>
      <c r="G67" s="95">
        <v>0</v>
      </c>
    </row>
    <row r="68" spans="2:7" x14ac:dyDescent="0.25">
      <c r="B68" s="84" t="s">
        <v>146</v>
      </c>
      <c r="C68" s="87" t="s">
        <v>147</v>
      </c>
      <c r="D68" s="56"/>
      <c r="E68" s="56"/>
    </row>
    <row r="69" spans="2:7" x14ac:dyDescent="0.25">
      <c r="B69" s="84" t="s">
        <v>148</v>
      </c>
      <c r="C69" s="87" t="s">
        <v>149</v>
      </c>
      <c r="D69" s="56"/>
      <c r="E69" s="56"/>
      <c r="F69" s="61" t="s">
        <v>205</v>
      </c>
    </row>
    <row r="70" spans="2:7" x14ac:dyDescent="0.25">
      <c r="B70" s="85" t="s">
        <v>150</v>
      </c>
      <c r="C70" s="88" t="s">
        <v>151</v>
      </c>
      <c r="D70" s="56"/>
      <c r="E70" s="56"/>
      <c r="F70" s="55" t="s">
        <v>34</v>
      </c>
      <c r="G70" s="95">
        <v>8.2366E-6</v>
      </c>
    </row>
    <row r="71" spans="2:7" x14ac:dyDescent="0.25">
      <c r="B71" s="83" t="s">
        <v>187</v>
      </c>
      <c r="C71" s="86" t="s">
        <v>181</v>
      </c>
      <c r="D71" s="56"/>
      <c r="E71" s="56"/>
      <c r="F71" s="55" t="s">
        <v>27</v>
      </c>
      <c r="G71" s="95">
        <v>0.16250000000000001</v>
      </c>
    </row>
    <row r="72" spans="2:7" x14ac:dyDescent="0.25">
      <c r="B72" s="84" t="s">
        <v>188</v>
      </c>
      <c r="C72" s="87" t="s">
        <v>182</v>
      </c>
      <c r="D72" s="56"/>
      <c r="E72" s="56"/>
      <c r="F72" s="55" t="s">
        <v>33</v>
      </c>
      <c r="G72" s="95">
        <v>0</v>
      </c>
    </row>
    <row r="73" spans="2:7" x14ac:dyDescent="0.25">
      <c r="B73" s="84" t="s">
        <v>189</v>
      </c>
      <c r="C73" s="87" t="s">
        <v>179</v>
      </c>
      <c r="D73" s="56"/>
      <c r="E73" s="56"/>
    </row>
    <row r="74" spans="2:7" x14ac:dyDescent="0.25">
      <c r="B74" s="85" t="s">
        <v>190</v>
      </c>
      <c r="C74" s="88" t="s">
        <v>180</v>
      </c>
      <c r="D74" s="56"/>
      <c r="E74" s="56"/>
      <c r="F74" s="61" t="s">
        <v>206</v>
      </c>
    </row>
    <row r="75" spans="2:7" x14ac:dyDescent="0.25">
      <c r="B75" s="83" t="s">
        <v>194</v>
      </c>
      <c r="C75" s="86" t="s">
        <v>152</v>
      </c>
      <c r="D75" s="56"/>
      <c r="E75" s="56"/>
      <c r="F75" s="55" t="s">
        <v>34</v>
      </c>
      <c r="G75" s="95">
        <v>-100.009</v>
      </c>
    </row>
    <row r="76" spans="2:7" x14ac:dyDescent="0.25">
      <c r="B76" s="84" t="s">
        <v>193</v>
      </c>
      <c r="C76" s="87" t="s">
        <v>153</v>
      </c>
      <c r="D76" s="56"/>
      <c r="E76" s="56"/>
      <c r="F76" s="55" t="s">
        <v>27</v>
      </c>
      <c r="G76" s="95">
        <v>-353.77679999999998</v>
      </c>
    </row>
    <row r="77" spans="2:7" x14ac:dyDescent="0.25">
      <c r="B77" s="84" t="s">
        <v>191</v>
      </c>
      <c r="C77" s="87" t="s">
        <v>154</v>
      </c>
      <c r="D77" s="56"/>
      <c r="E77" s="56"/>
      <c r="F77" s="55" t="s">
        <v>33</v>
      </c>
      <c r="G77" s="95">
        <v>0</v>
      </c>
    </row>
    <row r="78" spans="2:7" x14ac:dyDescent="0.25">
      <c r="B78" s="85" t="s">
        <v>192</v>
      </c>
      <c r="C78" s="88" t="s">
        <v>155</v>
      </c>
      <c r="D78" s="56"/>
      <c r="E78" s="56"/>
    </row>
    <row r="79" spans="2:7" x14ac:dyDescent="0.25">
      <c r="B79" s="83" t="s">
        <v>156</v>
      </c>
      <c r="C79" s="86" t="s">
        <v>157</v>
      </c>
      <c r="D79" s="56"/>
      <c r="E79" s="56"/>
      <c r="F79" s="61" t="s">
        <v>207</v>
      </c>
    </row>
    <row r="80" spans="2:7" x14ac:dyDescent="0.25">
      <c r="B80" s="84" t="s">
        <v>158</v>
      </c>
      <c r="C80" s="87" t="s">
        <v>159</v>
      </c>
      <c r="D80" s="56"/>
      <c r="E80" s="56"/>
      <c r="F80" s="55" t="s">
        <v>34</v>
      </c>
      <c r="G80" s="95">
        <v>8.2366E-6</v>
      </c>
    </row>
    <row r="81" spans="2:7" x14ac:dyDescent="0.25">
      <c r="B81" s="84" t="s">
        <v>160</v>
      </c>
      <c r="C81" s="87" t="s">
        <v>161</v>
      </c>
      <c r="D81" s="56"/>
      <c r="E81" s="56"/>
      <c r="F81" s="55" t="s">
        <v>27</v>
      </c>
      <c r="G81" s="95">
        <v>0.16250000000000001</v>
      </c>
    </row>
    <row r="82" spans="2:7" x14ac:dyDescent="0.25">
      <c r="B82" s="85" t="s">
        <v>162</v>
      </c>
      <c r="C82" s="88" t="s">
        <v>163</v>
      </c>
      <c r="D82" s="56"/>
      <c r="E82" s="56"/>
      <c r="F82" s="55" t="s">
        <v>33</v>
      </c>
      <c r="G82" s="95">
        <v>0</v>
      </c>
    </row>
    <row r="83" spans="2:7" x14ac:dyDescent="0.25">
      <c r="C83" s="56"/>
      <c r="D83" s="56"/>
      <c r="E83" s="56"/>
    </row>
    <row r="84" spans="2:7" x14ac:dyDescent="0.25">
      <c r="B84" s="74" t="s">
        <v>174</v>
      </c>
      <c r="C84" s="81"/>
    </row>
    <row r="86" spans="2:7" x14ac:dyDescent="0.25">
      <c r="B86" s="67" t="s">
        <v>3</v>
      </c>
      <c r="C86" s="67" t="s">
        <v>178</v>
      </c>
    </row>
    <row r="87" spans="2:7" x14ac:dyDescent="0.25">
      <c r="B87" s="83" t="s">
        <v>144</v>
      </c>
      <c r="C87" s="83" t="s">
        <v>164</v>
      </c>
    </row>
    <row r="88" spans="2:7" x14ac:dyDescent="0.25">
      <c r="B88" s="84" t="s">
        <v>146</v>
      </c>
      <c r="C88" s="84" t="s">
        <v>165</v>
      </c>
    </row>
    <row r="89" spans="2:7" x14ac:dyDescent="0.25">
      <c r="B89" s="84" t="s">
        <v>148</v>
      </c>
      <c r="C89" s="84" t="s">
        <v>149</v>
      </c>
    </row>
    <row r="90" spans="2:7" x14ac:dyDescent="0.25">
      <c r="B90" s="85" t="s">
        <v>150</v>
      </c>
      <c r="C90" s="85" t="s">
        <v>151</v>
      </c>
    </row>
    <row r="91" spans="2:7" x14ac:dyDescent="0.25">
      <c r="B91" s="83" t="s">
        <v>187</v>
      </c>
      <c r="C91" s="83" t="s">
        <v>185</v>
      </c>
    </row>
    <row r="92" spans="2:7" x14ac:dyDescent="0.25">
      <c r="B92" s="84" t="s">
        <v>188</v>
      </c>
      <c r="C92" s="84" t="s">
        <v>186</v>
      </c>
    </row>
    <row r="93" spans="2:7" x14ac:dyDescent="0.25">
      <c r="B93" s="84" t="s">
        <v>189</v>
      </c>
      <c r="C93" s="84" t="s">
        <v>183</v>
      </c>
    </row>
    <row r="94" spans="2:7" x14ac:dyDescent="0.25">
      <c r="B94" s="85" t="s">
        <v>190</v>
      </c>
      <c r="C94" s="85" t="s">
        <v>184</v>
      </c>
    </row>
    <row r="95" spans="2:7" x14ac:dyDescent="0.25">
      <c r="B95" s="89" t="s">
        <v>194</v>
      </c>
      <c r="C95" s="90" t="s">
        <v>166</v>
      </c>
    </row>
    <row r="96" spans="2:7" x14ac:dyDescent="0.25">
      <c r="B96" s="91" t="s">
        <v>193</v>
      </c>
      <c r="C96" s="92" t="s">
        <v>167</v>
      </c>
    </row>
    <row r="97" spans="2:3" x14ac:dyDescent="0.25">
      <c r="B97" s="91" t="s">
        <v>191</v>
      </c>
      <c r="C97" s="92" t="s">
        <v>168</v>
      </c>
    </row>
    <row r="98" spans="2:3" x14ac:dyDescent="0.25">
      <c r="B98" s="93" t="s">
        <v>192</v>
      </c>
      <c r="C98" s="94" t="s">
        <v>169</v>
      </c>
    </row>
    <row r="99" spans="2:3" x14ac:dyDescent="0.25">
      <c r="B99" s="83" t="s">
        <v>156</v>
      </c>
      <c r="C99" s="83" t="s">
        <v>170</v>
      </c>
    </row>
    <row r="100" spans="2:3" x14ac:dyDescent="0.25">
      <c r="B100" s="84" t="s">
        <v>158</v>
      </c>
      <c r="C100" s="84" t="s">
        <v>171</v>
      </c>
    </row>
    <row r="101" spans="2:3" x14ac:dyDescent="0.25">
      <c r="B101" s="84" t="s">
        <v>160</v>
      </c>
      <c r="C101" s="84" t="s">
        <v>172</v>
      </c>
    </row>
    <row r="102" spans="2:3" x14ac:dyDescent="0.25">
      <c r="B102" s="85" t="s">
        <v>162</v>
      </c>
      <c r="C102" s="85" t="s">
        <v>173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Distancias relativas</vt:lpstr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Oliveira</dc:creator>
  <cp:lastModifiedBy>Alexandre Oliveira</cp:lastModifiedBy>
  <dcterms:created xsi:type="dcterms:W3CDTF">2015-06-05T18:19:34Z</dcterms:created>
  <dcterms:modified xsi:type="dcterms:W3CDTF">2025-11-26T23:09:05Z</dcterms:modified>
</cp:coreProperties>
</file>