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4e17021f22116f5/Mestrado/0 DISSERTAÇÃO/DissertacaoMestradoITA/Defesa/"/>
    </mc:Choice>
  </mc:AlternateContent>
  <xr:revisionPtr revIDLastSave="359" documentId="11_AD4D361C20488DEA4E38A0FC34DF79985BDEDD8A" xr6:coauthVersionLast="47" xr6:coauthVersionMax="47" xr10:uidLastSave="{02155CC8-0454-4558-B63C-91243D492118}"/>
  <bookViews>
    <workbookView xWindow="38280" yWindow="-120" windowWidth="29040" windowHeight="158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D29" i="1"/>
  <c r="E16" i="1"/>
  <c r="E15" i="1"/>
  <c r="C16" i="1"/>
  <c r="C20" i="1" s="1"/>
  <c r="D14" i="1"/>
  <c r="G15" i="1"/>
  <c r="G16" i="1"/>
  <c r="G14" i="1"/>
  <c r="C15" i="1"/>
  <c r="D15" i="1" s="1"/>
  <c r="B8" i="1"/>
  <c r="G9" i="1"/>
  <c r="C11" i="1"/>
  <c r="G4" i="1"/>
  <c r="C6" i="1"/>
  <c r="C5" i="1"/>
  <c r="D16" i="1" l="1"/>
  <c r="C18" i="1"/>
  <c r="D18" i="1" s="1"/>
  <c r="B9" i="1"/>
  <c r="C10" i="1" s="1"/>
  <c r="C9" i="1" l="1"/>
</calcChain>
</file>

<file path=xl/sharedStrings.xml><?xml version="1.0" encoding="utf-8"?>
<sst xmlns="http://schemas.openxmlformats.org/spreadsheetml/2006/main" count="29" uniqueCount="26">
  <si>
    <t>Evento</t>
  </si>
  <si>
    <t>Tempo (s)</t>
  </si>
  <si>
    <t>Inicio</t>
  </si>
  <si>
    <t>Aprox final</t>
  </si>
  <si>
    <t>Comutação</t>
  </si>
  <si>
    <t>Fim missão</t>
  </si>
  <si>
    <t>Início até final aprox longa</t>
  </si>
  <si>
    <t>Deriva</t>
  </si>
  <si>
    <t>Inicio Aprox curta</t>
  </si>
  <si>
    <t>A partir da app curta</t>
  </si>
  <si>
    <t>Grafico</t>
  </si>
  <si>
    <t>Fim (Acoplamento)</t>
  </si>
  <si>
    <t>Inicio Aprox longa (deltav1)</t>
  </si>
  <si>
    <t>Final Aprox longa (deltav2)</t>
  </si>
  <si>
    <t>Tempos dissertação [s]</t>
  </si>
  <si>
    <t>Tempos dissertação [h]</t>
  </si>
  <si>
    <t>Absoluto [s]</t>
  </si>
  <si>
    <t>Absoluto [h]</t>
  </si>
  <si>
    <t>Grafico dissertação</t>
  </si>
  <si>
    <t>Radial</t>
  </si>
  <si>
    <t>Along-track</t>
  </si>
  <si>
    <t>Alvo</t>
  </si>
  <si>
    <t>Dissertação</t>
  </si>
  <si>
    <t>Correto</t>
  </si>
  <si>
    <t>Dissertação MR</t>
  </si>
  <si>
    <t>Correto 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</si>
</sst>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6" formatCode="_-* #,##0.0_-;\-* #,##0.0_-;_-* &quot;-&quot;??_-;_-@_-"/>
    <numFmt numFmtId="167" formatCode="_-* #,##0_-;\-* #,##0_-;_-* &quot;-&quot;??_-;_-@_-"/>
    <numFmt numFmtId="171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167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0" fillId="0" borderId="0" xfId="1" applyNumberFormat="1" applyFont="1" applyAlignme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/>
    </xf>
    <xf numFmtId="10" fontId="0" fillId="0" borderId="0" xfId="2" applyNumberFormat="1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167" fontId="2" fillId="3" borderId="0" xfId="1" applyNumberFormat="1" applyFont="1" applyFill="1" applyAlignment="1">
      <alignment horizontal="center" vertical="center" wrapText="1"/>
    </xf>
    <xf numFmtId="167" fontId="3" fillId="4" borderId="0" xfId="1" applyNumberFormat="1" applyFont="1" applyFill="1" applyAlignment="1">
      <alignment horizontal="center" vertical="center" wrapText="1"/>
    </xf>
    <xf numFmtId="171" fontId="0" fillId="0" borderId="0" xfId="1" applyNumberFormat="1" applyFont="1" applyAlignment="1">
      <alignment horizontal="center" vertical="center"/>
    </xf>
    <xf numFmtId="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Dissertação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Plan1!$C$26</c:f>
              <c:numCache>
                <c:formatCode>_-* #,##0.0_-;\-* #,##0.0_-;_-* "-"??_-;_-@_-</c:formatCode>
                <c:ptCount val="1"/>
                <c:pt idx="0">
                  <c:v>-7.0000000000000001E-3</c:v>
                </c:pt>
              </c:numCache>
            </c:numRef>
          </c:xVal>
          <c:yVal>
            <c:numRef>
              <c:f>Plan1!$D$26</c:f>
              <c:numCache>
                <c:formatCode>_-* #,##0.0_-;\-* #,##0.0_-;_-* "-"??_-;_-@_-</c:formatCode>
                <c:ptCount val="1"/>
                <c:pt idx="0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1-47A8-993C-8912B1A7737D}"/>
            </c:ext>
          </c:extLst>
        </c:ser>
        <c:ser>
          <c:idx val="1"/>
          <c:order val="1"/>
          <c:tx>
            <c:v>Correto</c:v>
          </c:tx>
          <c:spPr>
            <a:ln w="25400" cap="rnd">
              <a:noFill/>
              <a:round/>
            </a:ln>
            <a:effectLst>
              <a:outerShdw blurRad="57150" dist="5080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50"/>
              </a:solidFill>
              <a:ln w="9525" cap="rnd">
                <a:noFill/>
                <a:round/>
              </a:ln>
              <a:effectLst>
                <a:outerShdw blurRad="57150" dist="5080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Plan1!$C$27</c:f>
              <c:numCache>
                <c:formatCode>_-* #,##0.0_-;\-* #,##0.0_-;_-* "-"??_-;_-@_-</c:formatCode>
                <c:ptCount val="1"/>
                <c:pt idx="0">
                  <c:v>0.3</c:v>
                </c:pt>
              </c:numCache>
            </c:numRef>
          </c:xVal>
          <c:yVal>
            <c:numRef>
              <c:f>Plan1!$D$27</c:f>
              <c:numCache>
                <c:formatCode>_-* #,##0.0_-;\-* #,##0.0_-;_-* "-"??_-;_-@_-</c:formatCode>
                <c:ptCount val="1"/>
                <c:pt idx="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D1-47A8-993C-8912B1A7737D}"/>
            </c:ext>
          </c:extLst>
        </c:ser>
        <c:ser>
          <c:idx val="2"/>
          <c:order val="2"/>
          <c:tx>
            <c:strRef>
              <c:f>Plan1!$B$29</c:f>
              <c:strCache>
                <c:ptCount val="1"/>
                <c:pt idx="0">
                  <c:v>Dissertação MR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Plan1!$C$29</c:f>
              <c:numCache>
                <c:formatCode>_(* #,##0.00_);_(* \(#,##0.00\);_(* "-"??_);_(@_)</c:formatCode>
                <c:ptCount val="1"/>
                <c:pt idx="0">
                  <c:v>-0.125</c:v>
                </c:pt>
              </c:numCache>
            </c:numRef>
          </c:xVal>
          <c:yVal>
            <c:numRef>
              <c:f>Plan1!$D$29</c:f>
              <c:numCache>
                <c:formatCode>_(* #,##0.00_);_(* \(#,##0.00\);_(* "-"??_);_(@_)</c:formatCode>
                <c:ptCount val="1"/>
                <c:pt idx="0">
                  <c:v>-0.45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D1-47A8-993C-8912B1A7737D}"/>
            </c:ext>
          </c:extLst>
        </c:ser>
        <c:ser>
          <c:idx val="3"/>
          <c:order val="3"/>
          <c:tx>
            <c:strRef>
              <c:f>Plan1!$B$30</c:f>
              <c:strCache>
                <c:ptCount val="1"/>
                <c:pt idx="0">
                  <c:v>Correto MR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Plan1!$C$30</c:f>
              <c:numCache>
                <c:formatCode>_(* #,##0.00_);_(* \(#,##0.00\);_(* "-"??_);_(@_)</c:formatCode>
                <c:ptCount val="1"/>
                <c:pt idx="0">
                  <c:v>0.17499999999999999</c:v>
                </c:pt>
              </c:numCache>
            </c:numRef>
          </c:xVal>
          <c:yVal>
            <c:numRef>
              <c:f>Plan1!$D$30</c:f>
              <c:numCache>
                <c:formatCode>_(* #,##0.00_);_(* \(#,##0.00\);_(* "-"??_);_(@_)</c:formatCode>
                <c:ptCount val="1"/>
                <c:pt idx="0">
                  <c:v>-0.95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D1-47A8-993C-8912B1A7737D}"/>
            </c:ext>
          </c:extLst>
        </c:ser>
        <c:ser>
          <c:idx val="4"/>
          <c:order val="4"/>
          <c:tx>
            <c:strRef>
              <c:f>Plan1!$B$32</c:f>
              <c:strCache>
                <c:ptCount val="1"/>
                <c:pt idx="0">
                  <c:v>Alvo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0000"/>
              </a:soli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24D1-47A8-993C-8912B1A77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725728"/>
        <c:axId val="1630723808"/>
      </c:scatterChart>
      <c:valAx>
        <c:axId val="1630725728"/>
        <c:scaling>
          <c:orientation val="minMax"/>
          <c:max val="0.5"/>
          <c:min val="-0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0723808"/>
        <c:crosses val="autoZero"/>
        <c:crossBetween val="midCat"/>
        <c:majorUnit val="0.1"/>
      </c:valAx>
      <c:valAx>
        <c:axId val="1630723808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0725728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431131</xdr:colOff>
      <xdr:row>28</xdr:row>
      <xdr:rowOff>98534</xdr:rowOff>
    </xdr:from>
    <xdr:to>
      <xdr:col>11</xdr:col>
      <xdr:colOff>436145</xdr:colOff>
      <xdr:row>54</xdr:row>
      <xdr:rowOff>175461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BCCCEB6-BE25-2560-035C-0C0480B1E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32"/>
  <sheetViews>
    <sheetView tabSelected="1" topLeftCell="A14" zoomScale="250" zoomScaleNormal="250" workbookViewId="0">
      <selection activeCell="A14" sqref="A1:XFD1048576"/>
    </sheetView>
  </sheetViews>
  <sheetFormatPr defaultRowHeight="15" x14ac:dyDescent="0.25"/>
  <cols>
    <col min="1" max="1" width="25.85546875" style="3" bestFit="1" customWidth="1"/>
    <col min="2" max="2" width="18" style="3" customWidth="1"/>
    <col min="3" max="3" width="12.140625" style="3" bestFit="1" customWidth="1"/>
    <col min="4" max="4" width="12.42578125" style="3" bestFit="1" customWidth="1"/>
    <col min="5" max="5" width="12.42578125" style="3" customWidth="1"/>
    <col min="6" max="7" width="17.28515625" style="3" customWidth="1"/>
    <col min="8" max="16384" width="9.140625" style="3"/>
  </cols>
  <sheetData>
    <row r="3" spans="1:7" ht="30" x14ac:dyDescent="0.25">
      <c r="A3" s="1" t="s">
        <v>0</v>
      </c>
      <c r="B3" s="1" t="s">
        <v>1</v>
      </c>
      <c r="C3" s="2"/>
      <c r="F3" s="7" t="s">
        <v>6</v>
      </c>
      <c r="G3" s="4">
        <v>6571</v>
      </c>
    </row>
    <row r="4" spans="1:7" x14ac:dyDescent="0.25">
      <c r="A4" s="5" t="s">
        <v>2</v>
      </c>
      <c r="B4" s="6">
        <v>0</v>
      </c>
      <c r="C4" s="6"/>
      <c r="F4" s="3" t="s">
        <v>7</v>
      </c>
      <c r="G4" s="4">
        <f>5*60</f>
        <v>300</v>
      </c>
    </row>
    <row r="5" spans="1:7" x14ac:dyDescent="0.25">
      <c r="A5" s="5" t="s">
        <v>12</v>
      </c>
      <c r="B5" s="6">
        <v>3702</v>
      </c>
      <c r="C5" s="6">
        <f>B5-B4</f>
        <v>3702</v>
      </c>
      <c r="G5" s="4"/>
    </row>
    <row r="6" spans="1:7" x14ac:dyDescent="0.25">
      <c r="A6" s="5" t="s">
        <v>13</v>
      </c>
      <c r="B6" s="6">
        <v>6571</v>
      </c>
      <c r="C6" s="6">
        <f t="shared" ref="C6:C11" si="0">B6-B5</f>
        <v>2869</v>
      </c>
      <c r="G6" s="4">
        <v>6571</v>
      </c>
    </row>
    <row r="7" spans="1:7" x14ac:dyDescent="0.25">
      <c r="A7" s="5" t="s">
        <v>7</v>
      </c>
      <c r="B7" s="6">
        <v>900</v>
      </c>
      <c r="C7" s="6"/>
      <c r="G7" s="4">
        <v>900</v>
      </c>
    </row>
    <row r="8" spans="1:7" x14ac:dyDescent="0.25">
      <c r="A8" s="5" t="s">
        <v>8</v>
      </c>
      <c r="B8" s="6">
        <f>SUM(B6:B7)</f>
        <v>7471</v>
      </c>
      <c r="C8" s="6"/>
      <c r="G8" s="4">
        <v>521</v>
      </c>
    </row>
    <row r="9" spans="1:7" x14ac:dyDescent="0.25">
      <c r="A9" s="5" t="s">
        <v>3</v>
      </c>
      <c r="B9" s="6">
        <f>B8+67</f>
        <v>7538</v>
      </c>
      <c r="C9" s="6">
        <f t="shared" si="0"/>
        <v>67</v>
      </c>
      <c r="G9" s="4">
        <f>SUM(G6:G8)</f>
        <v>7992</v>
      </c>
    </row>
    <row r="10" spans="1:7" x14ac:dyDescent="0.25">
      <c r="A10" s="5" t="s">
        <v>4</v>
      </c>
      <c r="B10" s="6">
        <v>7924</v>
      </c>
      <c r="C10" s="6">
        <f t="shared" si="0"/>
        <v>386</v>
      </c>
      <c r="G10" s="4"/>
    </row>
    <row r="11" spans="1:7" x14ac:dyDescent="0.25">
      <c r="A11" s="5" t="s">
        <v>5</v>
      </c>
      <c r="B11" s="6">
        <v>7992</v>
      </c>
      <c r="C11" s="6">
        <f t="shared" si="0"/>
        <v>68</v>
      </c>
      <c r="G11" s="4"/>
    </row>
    <row r="12" spans="1:7" x14ac:dyDescent="0.25">
      <c r="A12" s="5"/>
      <c r="B12" s="4"/>
      <c r="C12" s="4"/>
      <c r="G12" s="4"/>
    </row>
    <row r="13" spans="1:7" s="7" customFormat="1" ht="30" x14ac:dyDescent="0.25">
      <c r="A13" s="10" t="s">
        <v>9</v>
      </c>
      <c r="B13" s="11" t="s">
        <v>10</v>
      </c>
      <c r="C13" s="11" t="s">
        <v>16</v>
      </c>
      <c r="D13" s="11" t="s">
        <v>17</v>
      </c>
      <c r="E13" s="12" t="s">
        <v>18</v>
      </c>
      <c r="F13" s="12" t="s">
        <v>14</v>
      </c>
      <c r="G13" s="12" t="s">
        <v>15</v>
      </c>
    </row>
    <row r="14" spans="1:7" x14ac:dyDescent="0.25">
      <c r="A14" s="5" t="s">
        <v>8</v>
      </c>
      <c r="B14" s="6">
        <v>0</v>
      </c>
      <c r="C14" s="6">
        <v>7471</v>
      </c>
      <c r="D14" s="13">
        <f>C14/86400</f>
        <v>8.6469907407407412E-2</v>
      </c>
      <c r="E14" s="6">
        <v>0</v>
      </c>
      <c r="F14" s="6">
        <v>7471</v>
      </c>
      <c r="G14" s="13">
        <f>F14/86400</f>
        <v>8.6469907407407412E-2</v>
      </c>
    </row>
    <row r="15" spans="1:7" x14ac:dyDescent="0.25">
      <c r="A15" s="5" t="s">
        <v>4</v>
      </c>
      <c r="B15" s="8">
        <v>466.26</v>
      </c>
      <c r="C15" s="6">
        <f>$C$14+B15</f>
        <v>7937.26</v>
      </c>
      <c r="D15" s="13">
        <f>C15/86400</f>
        <v>9.1866435185185183E-2</v>
      </c>
      <c r="E15" s="6">
        <f>F15-F14</f>
        <v>453</v>
      </c>
      <c r="F15" s="6">
        <v>7924</v>
      </c>
      <c r="G15" s="13">
        <f t="shared" ref="G15:G16" si="1">F15/86400</f>
        <v>9.1712962962962968E-2</v>
      </c>
    </row>
    <row r="16" spans="1:7" x14ac:dyDescent="0.25">
      <c r="A16" s="5" t="s">
        <v>11</v>
      </c>
      <c r="B16" s="8">
        <v>662.57</v>
      </c>
      <c r="C16" s="6">
        <f>$C$14+B16</f>
        <v>8133.57</v>
      </c>
      <c r="D16" s="13">
        <f>C16/86400</f>
        <v>9.4138541666666659E-2</v>
      </c>
      <c r="E16" s="6">
        <f>F16-F14</f>
        <v>521</v>
      </c>
      <c r="F16" s="6">
        <v>7992</v>
      </c>
      <c r="G16" s="13">
        <f t="shared" si="1"/>
        <v>9.2499999999999999E-2</v>
      </c>
    </row>
    <row r="17" spans="1:7" x14ac:dyDescent="0.25">
      <c r="A17" s="5"/>
      <c r="B17" s="8"/>
      <c r="C17" s="6"/>
      <c r="D17" s="14"/>
      <c r="E17" s="6"/>
      <c r="F17" s="8"/>
      <c r="G17" s="14"/>
    </row>
    <row r="18" spans="1:7" x14ac:dyDescent="0.25">
      <c r="B18" s="8"/>
      <c r="C18" s="6">
        <f>C16-F16</f>
        <v>141.56999999999971</v>
      </c>
      <c r="D18" s="13">
        <f>C18/86400</f>
        <v>1.6385416666666634E-3</v>
      </c>
      <c r="E18" s="6"/>
      <c r="F18" s="8"/>
      <c r="G18" s="13"/>
    </row>
    <row r="19" spans="1:7" x14ac:dyDescent="0.25">
      <c r="B19" s="8"/>
      <c r="C19" s="8"/>
      <c r="D19" s="15"/>
      <c r="E19" s="6"/>
      <c r="F19" s="8"/>
      <c r="G19" s="15"/>
    </row>
    <row r="20" spans="1:7" x14ac:dyDescent="0.25">
      <c r="B20" s="8"/>
      <c r="C20" s="9">
        <f>C16/F16-1</f>
        <v>1.7713963963963852E-2</v>
      </c>
      <c r="D20" s="15"/>
      <c r="E20" s="6"/>
      <c r="G20" s="15"/>
    </row>
    <row r="21" spans="1:7" x14ac:dyDescent="0.25">
      <c r="B21" s="8"/>
      <c r="C21" s="8"/>
      <c r="D21" s="15"/>
      <c r="E21" s="6"/>
      <c r="G21" s="15"/>
    </row>
    <row r="22" spans="1:7" x14ac:dyDescent="0.25">
      <c r="B22" s="8"/>
      <c r="C22" s="8"/>
      <c r="D22" s="15"/>
      <c r="E22" s="15"/>
      <c r="G22" s="15"/>
    </row>
    <row r="23" spans="1:7" x14ac:dyDescent="0.25">
      <c r="E23" s="18"/>
    </row>
    <row r="24" spans="1:7" x14ac:dyDescent="0.25">
      <c r="E24" s="18"/>
    </row>
    <row r="25" spans="1:7" x14ac:dyDescent="0.25">
      <c r="B25" s="5"/>
      <c r="C25" s="5" t="s">
        <v>19</v>
      </c>
      <c r="D25" s="5" t="s">
        <v>20</v>
      </c>
    </row>
    <row r="26" spans="1:7" x14ac:dyDescent="0.25">
      <c r="B26" s="3" t="s">
        <v>22</v>
      </c>
      <c r="C26" s="16">
        <v>-7.0000000000000001E-3</v>
      </c>
      <c r="D26" s="16">
        <v>-0.5</v>
      </c>
    </row>
    <row r="27" spans="1:7" x14ac:dyDescent="0.25">
      <c r="B27" s="3" t="s">
        <v>23</v>
      </c>
      <c r="C27" s="16">
        <v>0.3</v>
      </c>
      <c r="D27" s="16">
        <v>-1</v>
      </c>
    </row>
    <row r="29" spans="1:7" x14ac:dyDescent="0.25">
      <c r="B29" s="3" t="s">
        <v>24</v>
      </c>
      <c r="C29" s="17">
        <v>-0.125</v>
      </c>
      <c r="D29" s="17">
        <f>D26+0.05</f>
        <v>-0.45</v>
      </c>
    </row>
    <row r="30" spans="1:7" x14ac:dyDescent="0.25">
      <c r="B30" s="3" t="s">
        <v>25</v>
      </c>
      <c r="C30" s="17">
        <f>C27-0.125</f>
        <v>0.17499999999999999</v>
      </c>
      <c r="D30" s="17">
        <f>D27+0.05</f>
        <v>-0.95</v>
      </c>
    </row>
    <row r="32" spans="1:7" x14ac:dyDescent="0.25">
      <c r="B32" s="3" t="s">
        <v>21</v>
      </c>
      <c r="C32" s="3">
        <v>0</v>
      </c>
      <c r="D32" s="3">
        <v>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Oliveira</dc:creator>
  <cp:lastModifiedBy>Alexandre Oliveira</cp:lastModifiedBy>
  <dcterms:created xsi:type="dcterms:W3CDTF">2015-06-05T18:19:34Z</dcterms:created>
  <dcterms:modified xsi:type="dcterms:W3CDTF">2026-02-24T17:59:40Z</dcterms:modified>
</cp:coreProperties>
</file>