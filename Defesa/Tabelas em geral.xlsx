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4e17021f22116f5/Mestrado/0 DISSERTAÇÃO/DissertacaoMestradoITA/Defesa/"/>
    </mc:Choice>
  </mc:AlternateContent>
  <xr:revisionPtr revIDLastSave="389" documentId="11_AD4D361C20488DEA4E38A0FC34DF79985BDEDD8A" xr6:coauthVersionLast="47" xr6:coauthVersionMax="47" xr10:uidLastSave="{49C575BF-24FF-4F7F-B654-4CA587458663}"/>
  <bookViews>
    <workbookView xWindow="-120" yWindow="-120" windowWidth="38640" windowHeight="21240" activeTab="1" xr2:uid="{00000000-000D-0000-FFFF-FFFF00000000}"/>
  </bookViews>
  <sheets>
    <sheet name="Slide inicial" sheetId="3" r:id="rId1"/>
    <sheet name="Linha do tempo" sheetId="4" r:id="rId2"/>
    <sheet name="Capa" sheetId="1" r:id="rId3"/>
    <sheet name="Estrutura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4" l="1"/>
  <c r="B39" i="4"/>
  <c r="B40" i="4"/>
  <c r="B41" i="4"/>
  <c r="B37" i="4"/>
  <c r="B34" i="4"/>
  <c r="B33" i="4"/>
  <c r="B32" i="4"/>
  <c r="B31" i="4"/>
  <c r="B9" i="4"/>
  <c r="B10" i="4" s="1"/>
  <c r="B14" i="4" s="1"/>
  <c r="O30" i="4"/>
  <c r="N30" i="4"/>
  <c r="O29" i="4"/>
  <c r="R16" i="4"/>
  <c r="P16" i="4"/>
  <c r="N16" i="4"/>
  <c r="N20" i="4" s="1"/>
  <c r="R15" i="4"/>
  <c r="P15" i="4"/>
  <c r="N15" i="4"/>
  <c r="O15" i="4" s="1"/>
  <c r="R14" i="4"/>
  <c r="O14" i="4"/>
  <c r="N11" i="4"/>
  <c r="R9" i="4"/>
  <c r="M8" i="4"/>
  <c r="M9" i="4" s="1"/>
  <c r="N6" i="4"/>
  <c r="N5" i="4"/>
  <c r="R4" i="4"/>
  <c r="B12" i="4" l="1"/>
  <c r="B11" i="4"/>
  <c r="B13" i="4"/>
  <c r="B26" i="4"/>
  <c r="B25" i="4"/>
  <c r="B24" i="4"/>
  <c r="B27" i="4"/>
  <c r="N9" i="4"/>
  <c r="N10" i="4"/>
  <c r="O16" i="4"/>
  <c r="N18" i="4"/>
  <c r="O18" i="4" s="1"/>
</calcChain>
</file>

<file path=xl/sharedStrings.xml><?xml version="1.0" encoding="utf-8"?>
<sst xmlns="http://schemas.openxmlformats.org/spreadsheetml/2006/main" count="198" uniqueCount="106">
  <si>
    <t>Orientador</t>
  </si>
  <si>
    <t>Data</t>
  </si>
  <si>
    <t>Prof. Dr° Ijar Milagre da Fonseca</t>
  </si>
  <si>
    <t>Alexandre Augusto Santana de Oliveira</t>
  </si>
  <si>
    <t>Programa</t>
  </si>
  <si>
    <t>Área de concentração</t>
  </si>
  <si>
    <t>Sistemas Espaciais, Ensaios e Lançamentos (CTE-E)</t>
  </si>
  <si>
    <t>Mestrando</t>
  </si>
  <si>
    <t>Instituição</t>
  </si>
  <si>
    <t>Instituto Tecnológico de Aeronáutica (ITA)</t>
  </si>
  <si>
    <t>Ciências e Tecnologias Espaciais (CTE)</t>
  </si>
  <si>
    <t>Capa</t>
  </si>
  <si>
    <t>Ok</t>
  </si>
  <si>
    <t>Motivação</t>
  </si>
  <si>
    <t>Problema e objetivo</t>
  </si>
  <si>
    <t>Sumário da apresentação</t>
  </si>
  <si>
    <t>Bloco 1</t>
  </si>
  <si>
    <t>Contexo e estratégia da missão</t>
  </si>
  <si>
    <t>SEPARADOR</t>
  </si>
  <si>
    <t>Modos</t>
  </si>
  <si>
    <t>Fases</t>
  </si>
  <si>
    <t>Arquitetura geral</t>
  </si>
  <si>
    <t>Contexto histórico RVDB</t>
  </si>
  <si>
    <t>Slide</t>
  </si>
  <si>
    <t>Tipo</t>
  </si>
  <si>
    <t>Descrição breve</t>
  </si>
  <si>
    <t>Bloco 2</t>
  </si>
  <si>
    <t>Status</t>
  </si>
  <si>
    <t>Formulação matemática e modelagem</t>
  </si>
  <si>
    <t>Orbital</t>
  </si>
  <si>
    <t>HCW</t>
  </si>
  <si>
    <t>Atitude</t>
  </si>
  <si>
    <t>MR</t>
  </si>
  <si>
    <t>Comutação</t>
  </si>
  <si>
    <t>Implementação e integração no Simulink</t>
  </si>
  <si>
    <t>Bloco 3</t>
  </si>
  <si>
    <t>Arquitetura</t>
  </si>
  <si>
    <t>PD</t>
  </si>
  <si>
    <t>Métricas</t>
  </si>
  <si>
    <t>Linha do tempo</t>
  </si>
  <si>
    <t>Resultados</t>
  </si>
  <si>
    <t>Bloco 4</t>
  </si>
  <si>
    <t>Resultado</t>
  </si>
  <si>
    <t>Conclusões e continuidade</t>
  </si>
  <si>
    <t>Bloco 5</t>
  </si>
  <si>
    <t>Conclusões</t>
  </si>
  <si>
    <t>Limitações</t>
  </si>
  <si>
    <t>Trabalhos futuros</t>
  </si>
  <si>
    <t>Final</t>
  </si>
  <si>
    <t>Revisado?</t>
  </si>
  <si>
    <t>Não</t>
  </si>
  <si>
    <t>Hora</t>
  </si>
  <si>
    <t>9h</t>
  </si>
  <si>
    <t>Banca examinadora</t>
  </si>
  <si>
    <t>Presidente</t>
  </si>
  <si>
    <t>Prof° Dr. Johnny Cardoso Marques</t>
  </si>
  <si>
    <t>Prof° Dr. Ijar Milagre da Fonseca</t>
  </si>
  <si>
    <t>Membro Interno</t>
  </si>
  <si>
    <t>Prof° Dr. Geilson Loureiro</t>
  </si>
  <si>
    <t>Prof° Dr. Willer Gomes dos Santos</t>
  </si>
  <si>
    <t>Dr. Evandro Marconi Rocco (INPE)</t>
  </si>
  <si>
    <t>Dr. Élcio Jerônimo de Oliveira (INPE)</t>
  </si>
  <si>
    <t>Suplente Interno</t>
  </si>
  <si>
    <t>Membro Externo</t>
  </si>
  <si>
    <t>Suplente Externo</t>
  </si>
  <si>
    <t>Evento</t>
  </si>
  <si>
    <t>Tempo (s)</t>
  </si>
  <si>
    <t>Início até final aprox longa</t>
  </si>
  <si>
    <t>Inicio</t>
  </si>
  <si>
    <t>Deriva</t>
  </si>
  <si>
    <t>Inicio Aprox longa (deltav1)</t>
  </si>
  <si>
    <t>Final Aprox longa (deltav2)</t>
  </si>
  <si>
    <t>Inicio Aprox curta</t>
  </si>
  <si>
    <t>Aprox final</t>
  </si>
  <si>
    <t>Fim missão</t>
  </si>
  <si>
    <t>A partir da app curta</t>
  </si>
  <si>
    <t>Grafico</t>
  </si>
  <si>
    <t>Absoluto [s]</t>
  </si>
  <si>
    <t>Absoluto [h]</t>
  </si>
  <si>
    <t>Grafico dissertação</t>
  </si>
  <si>
    <t>Tempos dissertação [s]</t>
  </si>
  <si>
    <t>Tempos dissertação [h]</t>
  </si>
  <si>
    <t>Fim (Acoplamento)</t>
  </si>
  <si>
    <t>Radial</t>
  </si>
  <si>
    <t>Along-track</t>
  </si>
  <si>
    <t>Dissertação</t>
  </si>
  <si>
    <t>Correto</t>
  </si>
  <si>
    <t>Dissertação MR</t>
  </si>
  <si>
    <t>Correto MR</t>
  </si>
  <si>
    <t>Alvo</t>
  </si>
  <si>
    <t>Início da simulação</t>
  </si>
  <si>
    <t>Término da deriva orbital</t>
  </si>
  <si>
    <t>Início da aproximação de curta distância</t>
  </si>
  <si>
    <t>Início da aproximação final</t>
  </si>
  <si>
    <t>Aproximação de longa distância</t>
  </si>
  <si>
    <t>Término da aproximação de longa distância</t>
  </si>
  <si>
    <t>Comutação entre dinâmicas</t>
  </si>
  <si>
    <t>Acoplamento</t>
  </si>
  <si>
    <t>Término</t>
  </si>
  <si>
    <t>Término (900 segundos)</t>
  </si>
  <si>
    <t>Absoluto</t>
  </si>
  <si>
    <t>Local</t>
  </si>
  <si>
    <t>Linha do tempo slide total</t>
  </si>
  <si>
    <t>Linha do tempo slide app curta</t>
  </si>
  <si>
    <t>B fixo</t>
  </si>
  <si>
    <t>Tempo Absoluto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</si>
</sst>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-F400]h:mm:ss\ AM/PM"/>
    <numFmt numFmtId="166" formatCode="_-* #,##0.0_-;\-* #,##0.0_-;_-* &quot;-&quot;??_-;_-@_-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6"/>
      <color theme="1"/>
      <name val="Aptos"/>
      <family val="2"/>
    </font>
    <font>
      <sz val="16"/>
      <color theme="1"/>
      <name val="Aptos"/>
      <family val="2"/>
    </font>
    <font>
      <sz val="11"/>
      <color theme="1"/>
      <name val="Calibri"/>
      <family val="2"/>
      <scheme val="minor"/>
    </font>
    <font>
      <b/>
      <sz val="10"/>
      <color theme="0"/>
      <name val="Aptos"/>
      <family val="2"/>
    </font>
    <font>
      <sz val="10"/>
      <color theme="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1" fillId="0" borderId="0" xfId="1" applyNumberFormat="1" applyFont="1" applyAlignment="1">
      <alignment vertical="center"/>
    </xf>
    <xf numFmtId="3" fontId="1" fillId="0" borderId="0" xfId="1" applyNumberFormat="1" applyFont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164" fontId="2" fillId="4" borderId="0" xfId="1" applyNumberFormat="1" applyFont="1" applyFill="1" applyAlignment="1">
      <alignment horizontal="center" vertical="center" wrapText="1"/>
    </xf>
    <xf numFmtId="164" fontId="6" fillId="5" borderId="0" xfId="1" applyNumberFormat="1" applyFont="1" applyFill="1" applyAlignment="1">
      <alignment horizontal="center" vertical="center" wrapText="1"/>
    </xf>
    <xf numFmtId="165" fontId="1" fillId="0" borderId="0" xfId="1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4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2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66" fontId="1" fillId="0" borderId="0" xfId="1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3" fontId="1" fillId="0" borderId="0" xfId="1" applyNumberFormat="1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3" fontId="1" fillId="0" borderId="0" xfId="1" applyNumberFormat="1" applyFont="1" applyAlignment="1">
      <alignment horizontal="center" vertical="center"/>
    </xf>
    <xf numFmtId="3" fontId="1" fillId="0" borderId="0" xfId="1" applyNumberFormat="1" applyFont="1" applyAlignment="1">
      <alignment horizontal="center" vertical="center" wrapText="1"/>
    </xf>
    <xf numFmtId="0" fontId="6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Dissertação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[1]Plan1!$C$26</c:f>
              <c:numCache>
                <c:formatCode>General</c:formatCode>
                <c:ptCount val="1"/>
                <c:pt idx="0">
                  <c:v>-7.0000000000000001E-3</c:v>
                </c:pt>
              </c:numCache>
            </c:numRef>
          </c:xVal>
          <c:yVal>
            <c:numRef>
              <c:f>[1]Plan1!$D$26</c:f>
              <c:numCache>
                <c:formatCode>General</c:formatCode>
                <c:ptCount val="1"/>
                <c:pt idx="0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F-48C4-9C72-C989BFD31579}"/>
            </c:ext>
          </c:extLst>
        </c:ser>
        <c:ser>
          <c:idx val="1"/>
          <c:order val="1"/>
          <c:tx>
            <c:v>Correto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50"/>
              </a:solidFill>
              <a:ln w="9525" cap="rnd">
                <a:noFill/>
                <a:round/>
              </a:ln>
              <a:effectLst>
                <a:outerShdw blurRad="57150" dist="5080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[1]Plan1!$C$27</c:f>
              <c:numCache>
                <c:formatCode>General</c:formatCode>
                <c:ptCount val="1"/>
                <c:pt idx="0">
                  <c:v>0.3</c:v>
                </c:pt>
              </c:numCache>
            </c:numRef>
          </c:xVal>
          <c:yVal>
            <c:numRef>
              <c:f>[1]Plan1!$D$27</c:f>
              <c:numCache>
                <c:formatCode>General</c:formatCode>
                <c:ptCount val="1"/>
                <c:pt idx="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F-48C4-9C72-C989BFD31579}"/>
            </c:ext>
          </c:extLst>
        </c:ser>
        <c:ser>
          <c:idx val="2"/>
          <c:order val="2"/>
          <c:tx>
            <c:strRef>
              <c:f>[1]Plan1!$B$29</c:f>
              <c:strCache>
                <c:ptCount val="1"/>
                <c:pt idx="0">
                  <c:v>Dissertação MR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[1]Plan1!$C$29</c:f>
              <c:numCache>
                <c:formatCode>General</c:formatCode>
                <c:ptCount val="1"/>
                <c:pt idx="0">
                  <c:v>-0.125</c:v>
                </c:pt>
              </c:numCache>
            </c:numRef>
          </c:xVal>
          <c:yVal>
            <c:numRef>
              <c:f>[1]Plan1!$D$29</c:f>
              <c:numCache>
                <c:formatCode>General</c:formatCode>
                <c:ptCount val="1"/>
                <c:pt idx="0">
                  <c:v>-0.45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0F-48C4-9C72-C989BFD31579}"/>
            </c:ext>
          </c:extLst>
        </c:ser>
        <c:ser>
          <c:idx val="3"/>
          <c:order val="3"/>
          <c:tx>
            <c:strRef>
              <c:f>[1]Plan1!$B$30</c:f>
              <c:strCache>
                <c:ptCount val="1"/>
                <c:pt idx="0">
                  <c:v>Correto MR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[1]Plan1!$C$30</c:f>
              <c:numCache>
                <c:formatCode>General</c:formatCode>
                <c:ptCount val="1"/>
                <c:pt idx="0">
                  <c:v>0.17499999999999999</c:v>
                </c:pt>
              </c:numCache>
            </c:numRef>
          </c:xVal>
          <c:yVal>
            <c:numRef>
              <c:f>[1]Plan1!$D$30</c:f>
              <c:numCache>
                <c:formatCode>General</c:formatCode>
                <c:ptCount val="1"/>
                <c:pt idx="0">
                  <c:v>-0.95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0F-48C4-9C72-C989BFD31579}"/>
            </c:ext>
          </c:extLst>
        </c:ser>
        <c:ser>
          <c:idx val="4"/>
          <c:order val="4"/>
          <c:tx>
            <c:strRef>
              <c:f>[1]Plan1!$B$32</c:f>
              <c:strCache>
                <c:ptCount val="1"/>
                <c:pt idx="0">
                  <c:v>Alvo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0000"/>
              </a:soli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1C0F-48C4-9C72-C989BFD31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725728"/>
        <c:axId val="1630723808"/>
      </c:scatterChart>
      <c:valAx>
        <c:axId val="1630725728"/>
        <c:scaling>
          <c:orientation val="minMax"/>
          <c:max val="0.5"/>
          <c:min val="-0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0723808"/>
        <c:crosses val="autoZero"/>
        <c:crossBetween val="midCat"/>
        <c:majorUnit val="0.1"/>
      </c:valAx>
      <c:valAx>
        <c:axId val="1630723808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0725728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140179613787505E-2"/>
          <c:y val="8.8265491478304828E-2"/>
          <c:w val="0.91971964077242496"/>
          <c:h val="0.823469017043390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'Linha do tempo'!$C$22</c:f>
              <c:strCache>
                <c:ptCount val="1"/>
                <c:pt idx="0">
                  <c:v>B fixo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6350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0129708288893533"/>
                  <c:y val="-0.34826930428512298"/>
                </c:manualLayout>
              </c:layout>
              <c:tx>
                <c:rich>
                  <a:bodyPr/>
                  <a:lstStyle/>
                  <a:p>
                    <a:fld id="{8E775520-C69F-4187-9530-04244D7F216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557772074516015"/>
                      <c:h val="0.2649310524569966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552-42AF-8EDD-F99E08053123}"/>
                </c:ext>
              </c:extLst>
            </c:dLbl>
            <c:dLbl>
              <c:idx val="1"/>
              <c:layout>
                <c:manualLayout>
                  <c:x val="2.6973090252602361E-2"/>
                  <c:y val="-0.1185682920279897"/>
                </c:manualLayout>
              </c:layout>
              <c:tx>
                <c:rich>
                  <a:bodyPr/>
                  <a:lstStyle/>
                  <a:p>
                    <a:fld id="{33149C95-B708-4EFF-B5D1-4B15A50C3FC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552-42AF-8EDD-F99E08053123}"/>
                </c:ext>
              </c:extLst>
            </c:dLbl>
            <c:dLbl>
              <c:idx val="2"/>
              <c:layout>
                <c:manualLayout>
                  <c:x val="-8.1484096432869885E-2"/>
                  <c:y val="-0.26336318982952905"/>
                </c:manualLayout>
              </c:layout>
              <c:tx>
                <c:rich>
                  <a:bodyPr/>
                  <a:lstStyle/>
                  <a:p>
                    <a:fld id="{8ACC1F1A-325B-4976-869F-B05FB521765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552-42AF-8EDD-F99E08053123}"/>
                </c:ext>
              </c:extLst>
            </c:dLbl>
            <c:dLbl>
              <c:idx val="3"/>
              <c:layout>
                <c:manualLayout>
                  <c:x val="-4.3950795459559919E-2"/>
                  <c:y val="-0.35654987237222041"/>
                </c:manualLayout>
              </c:layout>
              <c:tx>
                <c:rich>
                  <a:bodyPr/>
                  <a:lstStyle/>
                  <a:p>
                    <a:fld id="{319B0458-5399-4521-AEE7-CC3A38EE882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52-42AF-8EDD-F99E08053123}"/>
                </c:ext>
              </c:extLst>
            </c:dLbl>
            <c:dLbl>
              <c:idx val="4"/>
              <c:layout>
                <c:manualLayout>
                  <c:x val="-5.968975043846101E-2"/>
                  <c:y val="-0.21679929404446638"/>
                </c:manualLayout>
              </c:layout>
              <c:tx>
                <c:rich>
                  <a:bodyPr/>
                  <a:lstStyle/>
                  <a:p>
                    <a:fld id="{C70FF0B3-351A-4D63-8181-E3850AB4B1D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622964195451076"/>
                      <c:h val="0.1156020589756283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552-42AF-8EDD-F99E08053123}"/>
                </c:ext>
              </c:extLst>
            </c:dLbl>
            <c:numFmt formatCode="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'Linha do tempo'!$B$23:$B$27</c:f>
              <c:numCache>
                <c:formatCode>#,##0</c:formatCode>
                <c:ptCount val="5"/>
                <c:pt idx="0">
                  <c:v>7471</c:v>
                </c:pt>
                <c:pt idx="1">
                  <c:v>7538.57</c:v>
                </c:pt>
                <c:pt idx="2">
                  <c:v>7937.26</c:v>
                </c:pt>
                <c:pt idx="3">
                  <c:v>8133.57</c:v>
                </c:pt>
                <c:pt idx="4">
                  <c:v>8371</c:v>
                </c:pt>
              </c:numCache>
            </c:numRef>
          </c:xVal>
          <c:yVal>
            <c:numRef>
              <c:f>'Linha do tempo'!$C$23:$C$27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'Linha do tempo'!$D$23:$D$27</c15:f>
                <c15:dlblRangeCache>
                  <c:ptCount val="5"/>
                  <c:pt idx="0">
                    <c:v>Início da aproximação de curta distância</c:v>
                  </c:pt>
                  <c:pt idx="1">
                    <c:v>Início da aproximação final</c:v>
                  </c:pt>
                  <c:pt idx="2">
                    <c:v>Comutação entre dinâmicas</c:v>
                  </c:pt>
                  <c:pt idx="3">
                    <c:v>Acoplamento</c:v>
                  </c:pt>
                  <c:pt idx="4">
                    <c:v>Término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552-42AF-8EDD-F99E08053123}"/>
            </c:ext>
          </c:extLst>
        </c:ser>
        <c:ser>
          <c:idx val="1"/>
          <c:order val="1"/>
          <c:tx>
            <c:strRef>
              <c:f>'Linha do tempo'!$D$22</c:f>
              <c:strCache>
                <c:ptCount val="1"/>
                <c:pt idx="0">
                  <c:v>Evento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'Linha do tempo'!$D$23:$D$27</c:f>
              <c:strCache>
                <c:ptCount val="5"/>
                <c:pt idx="0">
                  <c:v>Início da aproximação de curta distância</c:v>
                </c:pt>
                <c:pt idx="1">
                  <c:v>Início da aproximação final</c:v>
                </c:pt>
                <c:pt idx="2">
                  <c:v>Comutação entre dinâmicas</c:v>
                </c:pt>
                <c:pt idx="3">
                  <c:v>Acoplamento</c:v>
                </c:pt>
                <c:pt idx="4">
                  <c:v>Término</c:v>
                </c:pt>
              </c:strCache>
            </c:strRef>
          </c:xVal>
          <c:yVal>
            <c:numRef>
              <c:f>'Linha do tempo'!$C$23:$C$27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52-42AF-8EDD-F99E08053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684064"/>
        <c:axId val="1994536592"/>
      </c:scatterChart>
      <c:valAx>
        <c:axId val="1675684064"/>
        <c:scaling>
          <c:orientation val="minMax"/>
          <c:max val="8471"/>
          <c:min val="747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1994536592"/>
        <c:crosses val="autoZero"/>
        <c:crossBetween val="midCat"/>
        <c:majorUnit val="100"/>
        <c:minorUnit val="100"/>
      </c:valAx>
      <c:valAx>
        <c:axId val="1994536592"/>
        <c:scaling>
          <c:orientation val="minMax"/>
          <c:max val="0.1"/>
          <c:min val="-0.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675684064"/>
        <c:crosses val="autoZero"/>
        <c:crossBetween val="midCat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'Linha do tempo'!$C$29</c:f>
              <c:strCache>
                <c:ptCount val="1"/>
                <c:pt idx="0">
                  <c:v>B fixo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358974492164171"/>
                  <c:y val="-0.30831859102134612"/>
                </c:manualLayout>
              </c:layout>
              <c:tx>
                <c:rich>
                  <a:bodyPr/>
                  <a:lstStyle/>
                  <a:p>
                    <a:fld id="{5F93B23A-CADA-4FC9-8752-C6E6791D6F0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AC6-4C10-A755-DB106B5705DC}"/>
                </c:ext>
              </c:extLst>
            </c:dLbl>
            <c:dLbl>
              <c:idx val="1"/>
              <c:layout>
                <c:manualLayout>
                  <c:x val="6.5302299085914992E-2"/>
                  <c:y val="-0.13860876912621004"/>
                </c:manualLayout>
              </c:layout>
              <c:tx>
                <c:rich>
                  <a:bodyPr/>
                  <a:lstStyle/>
                  <a:p>
                    <a:fld id="{340B764D-3CCB-4C45-9412-71C429D9FC5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AC6-4C10-A755-DB106B5705DC}"/>
                </c:ext>
              </c:extLst>
            </c:dLbl>
            <c:dLbl>
              <c:idx val="2"/>
              <c:layout>
                <c:manualLayout>
                  <c:x val="-8.8979685123966645E-2"/>
                  <c:y val="-0.29066455365473159"/>
                </c:manualLayout>
              </c:layout>
              <c:tx>
                <c:rich>
                  <a:bodyPr/>
                  <a:lstStyle/>
                  <a:p>
                    <a:fld id="{559FAEF7-66A8-4DD4-AE3D-8BE68ABFDD7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AC6-4C10-A755-DB106B5705DC}"/>
                </c:ext>
              </c:extLst>
            </c:dLbl>
            <c:dLbl>
              <c:idx val="3"/>
              <c:layout>
                <c:manualLayout>
                  <c:x val="-2.6929659274598779E-2"/>
                  <c:y val="-0.31780180885476145"/>
                </c:manualLayout>
              </c:layout>
              <c:tx>
                <c:rich>
                  <a:bodyPr/>
                  <a:lstStyle/>
                  <a:p>
                    <a:fld id="{BBE1FB95-3D2C-440E-9754-F6DA8BB78952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AC6-4C10-A755-DB106B5705DC}"/>
                </c:ext>
              </c:extLst>
            </c:dLbl>
            <c:dLbl>
              <c:idx val="4"/>
              <c:layout>
                <c:manualLayout>
                  <c:x val="1.4808037529558532E-2"/>
                  <c:y val="-0.28640828297784771"/>
                </c:manualLayout>
              </c:layout>
              <c:tx>
                <c:rich>
                  <a:bodyPr/>
                  <a:lstStyle/>
                  <a:p>
                    <a:fld id="{D0CC25D7-42A5-46F2-A531-3ECB9274B0B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AC6-4C10-A755-DB106B570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'Linha do tempo'!$B$30:$B$34</c:f>
              <c:numCache>
                <c:formatCode>#,##0</c:formatCode>
                <c:ptCount val="5"/>
                <c:pt idx="0">
                  <c:v>0</c:v>
                </c:pt>
                <c:pt idx="1">
                  <c:v>67.569999999999993</c:v>
                </c:pt>
                <c:pt idx="2">
                  <c:v>466.26</c:v>
                </c:pt>
                <c:pt idx="3">
                  <c:v>662.57</c:v>
                </c:pt>
                <c:pt idx="4">
                  <c:v>900</c:v>
                </c:pt>
              </c:numCache>
            </c:numRef>
          </c:xVal>
          <c:yVal>
            <c:numRef>
              <c:f>'Linha do tempo'!$C$30:$C$34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'Linha do tempo'!$D$23:$D$27</c15:f>
                <c15:dlblRangeCache>
                  <c:ptCount val="5"/>
                  <c:pt idx="0">
                    <c:v>Início da aproximação de curta distância</c:v>
                  </c:pt>
                  <c:pt idx="1">
                    <c:v>Início da aproximação final</c:v>
                  </c:pt>
                  <c:pt idx="2">
                    <c:v>Comutação entre dinâmicas</c:v>
                  </c:pt>
                  <c:pt idx="3">
                    <c:v>Acoplamento</c:v>
                  </c:pt>
                  <c:pt idx="4">
                    <c:v>Término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4AC6-4C10-A755-DB106B5705D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75684064"/>
        <c:axId val="1994536592"/>
      </c:scatterChart>
      <c:valAx>
        <c:axId val="16756840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1994536592"/>
        <c:crosses val="autoZero"/>
        <c:crossBetween val="midCat"/>
        <c:majorUnit val="100"/>
        <c:minorUnit val="100"/>
      </c:valAx>
      <c:valAx>
        <c:axId val="1994536592"/>
        <c:scaling>
          <c:orientation val="minMax"/>
          <c:max val="0.1"/>
          <c:min val="-0.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675684064"/>
        <c:crosses val="autoZero"/>
        <c:crossBetween val="midCat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431131</xdr:colOff>
      <xdr:row>28</xdr:row>
      <xdr:rowOff>98534</xdr:rowOff>
    </xdr:from>
    <xdr:to>
      <xdr:col>22</xdr:col>
      <xdr:colOff>436145</xdr:colOff>
      <xdr:row>54</xdr:row>
      <xdr:rowOff>175461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3A820C-F66C-4063-B6E8-5D5E58204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695</xdr:colOff>
      <xdr:row>42</xdr:row>
      <xdr:rowOff>0</xdr:rowOff>
    </xdr:from>
    <xdr:to>
      <xdr:col>10</xdr:col>
      <xdr:colOff>198881</xdr:colOff>
      <xdr:row>51</xdr:row>
      <xdr:rowOff>50619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19B1A8-BE7C-4CF0-AEF7-BC1CDCC59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2383971</xdr:colOff>
      <xdr:row>51</xdr:row>
      <xdr:rowOff>152400</xdr:rowOff>
    </xdr:from>
    <xdr:to>
      <xdr:col>10</xdr:col>
      <xdr:colOff>198881</xdr:colOff>
      <xdr:row>61</xdr:row>
      <xdr:rowOff>28848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8A6F128-E6A8-475D-AE17-F27782AF7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e17021f22116f5/Mestrado/0%20DISSERTA&#199;&#195;O/DissertacaoMestradoITA/Defesa/Anota&#231;&#245;es.xlsx" TargetMode="External"/><Relationship Id="rId1" Type="http://schemas.openxmlformats.org/officeDocument/2006/relationships/externalLinkPath" Target="Anota&#231;&#245;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1"/>
    </sheetNames>
    <sheetDataSet>
      <sheetData sheetId="0">
        <row r="26">
          <cell r="C26">
            <v>-7.0000000000000001E-3</v>
          </cell>
          <cell r="D26">
            <v>-0.5</v>
          </cell>
        </row>
        <row r="27">
          <cell r="C27">
            <v>0.3</v>
          </cell>
          <cell r="D27">
            <v>-1</v>
          </cell>
        </row>
        <row r="29">
          <cell r="B29" t="str">
            <v>Dissertação MR</v>
          </cell>
          <cell r="C29">
            <v>-0.125</v>
          </cell>
          <cell r="D29">
            <v>-0.45</v>
          </cell>
        </row>
        <row r="30">
          <cell r="B30" t="str">
            <v>Correto MR</v>
          </cell>
          <cell r="C30">
            <v>0.17499999999999999</v>
          </cell>
          <cell r="D30">
            <v>-0.95</v>
          </cell>
        </row>
        <row r="32">
          <cell r="B32" t="str">
            <v>Alvo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DF1F-4DA6-4AB9-81AE-648C3C274346}">
  <dimension ref="A2:C13"/>
  <sheetViews>
    <sheetView showGridLines="0" zoomScale="145" zoomScaleNormal="145" workbookViewId="0">
      <selection activeCell="A2" sqref="A2:C11"/>
    </sheetView>
  </sheetViews>
  <sheetFormatPr defaultRowHeight="21" x14ac:dyDescent="0.25"/>
  <cols>
    <col min="1" max="1" width="32.28515625" style="3" bestFit="1" customWidth="1"/>
    <col min="2" max="2" width="2.140625" style="3" customWidth="1"/>
    <col min="3" max="3" width="70.85546875" style="3" bestFit="1" customWidth="1"/>
    <col min="4" max="16384" width="9.140625" style="3"/>
  </cols>
  <sheetData>
    <row r="2" spans="1:3" x14ac:dyDescent="0.25">
      <c r="A2" s="6" t="s">
        <v>1</v>
      </c>
      <c r="B2" s="5"/>
      <c r="C2" s="4">
        <v>46080</v>
      </c>
    </row>
    <row r="3" spans="1:3" x14ac:dyDescent="0.25">
      <c r="A3" s="6" t="s">
        <v>51</v>
      </c>
      <c r="B3" s="5"/>
      <c r="C3" s="3" t="s">
        <v>52</v>
      </c>
    </row>
    <row r="4" spans="1:3" x14ac:dyDescent="0.25">
      <c r="A4" s="5"/>
      <c r="B4" s="5"/>
    </row>
    <row r="5" spans="1:3" x14ac:dyDescent="0.25">
      <c r="A5" s="8" t="s">
        <v>53</v>
      </c>
      <c r="B5" s="8"/>
      <c r="C5" s="8"/>
    </row>
    <row r="6" spans="1:3" x14ac:dyDescent="0.25">
      <c r="A6" s="6" t="s">
        <v>54</v>
      </c>
      <c r="B6" s="5"/>
      <c r="C6" s="3" t="s">
        <v>55</v>
      </c>
    </row>
    <row r="7" spans="1:3" x14ac:dyDescent="0.25">
      <c r="A7" s="6" t="s">
        <v>0</v>
      </c>
      <c r="B7" s="5"/>
      <c r="C7" s="3" t="s">
        <v>56</v>
      </c>
    </row>
    <row r="8" spans="1:3" x14ac:dyDescent="0.25">
      <c r="A8" s="6" t="s">
        <v>57</v>
      </c>
      <c r="B8" s="5"/>
      <c r="C8" s="3" t="s">
        <v>58</v>
      </c>
    </row>
    <row r="9" spans="1:3" x14ac:dyDescent="0.25">
      <c r="A9" s="6" t="s">
        <v>62</v>
      </c>
      <c r="B9" s="5"/>
      <c r="C9" s="3" t="s">
        <v>59</v>
      </c>
    </row>
    <row r="10" spans="1:3" x14ac:dyDescent="0.25">
      <c r="A10" s="6" t="s">
        <v>63</v>
      </c>
      <c r="B10" s="5"/>
      <c r="C10" s="3" t="s">
        <v>60</v>
      </c>
    </row>
    <row r="11" spans="1:3" x14ac:dyDescent="0.25">
      <c r="A11" s="6" t="s">
        <v>64</v>
      </c>
      <c r="B11" s="5"/>
      <c r="C11" s="3" t="s">
        <v>61</v>
      </c>
    </row>
    <row r="12" spans="1:3" x14ac:dyDescent="0.25">
      <c r="A12" s="5"/>
      <c r="B12" s="5"/>
    </row>
    <row r="13" spans="1:3" x14ac:dyDescent="0.25">
      <c r="A13" s="5"/>
      <c r="B13" s="5"/>
    </row>
  </sheetData>
  <mergeCells count="1">
    <mergeCell ref="A5:C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7E27-2646-434C-91A5-3B73281FE36F}">
  <dimension ref="B3:R45"/>
  <sheetViews>
    <sheetView tabSelected="1" topLeftCell="B38" zoomScale="235" zoomScaleNormal="235" workbookViewId="0">
      <selection activeCell="L51" sqref="L51"/>
    </sheetView>
  </sheetViews>
  <sheetFormatPr defaultRowHeight="13.5" x14ac:dyDescent="0.25"/>
  <cols>
    <col min="1" max="1" width="9.140625" style="1"/>
    <col min="2" max="2" width="35.7109375" style="1" customWidth="1"/>
    <col min="3" max="3" width="9.140625" style="1"/>
    <col min="4" max="4" width="37.140625" style="1" bestFit="1" customWidth="1"/>
    <col min="5" max="11" width="9.140625" style="1"/>
    <col min="12" max="12" width="25.85546875" style="1" bestFit="1" customWidth="1"/>
    <col min="13" max="13" width="18" style="1" customWidth="1"/>
    <col min="14" max="14" width="12.140625" style="1" bestFit="1" customWidth="1"/>
    <col min="15" max="15" width="12.42578125" style="1" bestFit="1" customWidth="1"/>
    <col min="16" max="16" width="19.28515625" style="1" customWidth="1"/>
    <col min="17" max="17" width="26.42578125" style="1" customWidth="1"/>
    <col min="18" max="18" width="24.7109375" style="1" customWidth="1"/>
    <col min="19" max="16384" width="9.140625" style="1"/>
  </cols>
  <sheetData>
    <row r="3" spans="2:18" x14ac:dyDescent="0.25">
      <c r="B3" s="27" t="s">
        <v>102</v>
      </c>
      <c r="C3" s="28"/>
      <c r="D3" s="28"/>
      <c r="L3" s="9" t="s">
        <v>65</v>
      </c>
      <c r="M3" s="9" t="s">
        <v>66</v>
      </c>
      <c r="N3" s="10"/>
      <c r="Q3" s="11" t="s">
        <v>67</v>
      </c>
      <c r="R3" s="12">
        <v>6571</v>
      </c>
    </row>
    <row r="4" spans="2:18" x14ac:dyDescent="0.25">
      <c r="L4" s="2" t="s">
        <v>68</v>
      </c>
      <c r="M4" s="13">
        <v>0</v>
      </c>
      <c r="N4" s="13"/>
      <c r="Q4" s="1" t="s">
        <v>69</v>
      </c>
      <c r="R4" s="12">
        <f>5*60</f>
        <v>300</v>
      </c>
    </row>
    <row r="5" spans="2:18" x14ac:dyDescent="0.25">
      <c r="B5" s="26" t="s">
        <v>100</v>
      </c>
      <c r="C5" s="26" t="s">
        <v>104</v>
      </c>
      <c r="D5" s="2" t="s">
        <v>65</v>
      </c>
      <c r="F5" s="26"/>
      <c r="L5" s="2" t="s">
        <v>70</v>
      </c>
      <c r="M5" s="13">
        <v>3702</v>
      </c>
      <c r="N5" s="13">
        <f>M5-M4</f>
        <v>3702</v>
      </c>
      <c r="R5" s="12"/>
    </row>
    <row r="6" spans="2:18" x14ac:dyDescent="0.25">
      <c r="B6" s="13">
        <v>0</v>
      </c>
      <c r="C6" s="29">
        <v>0</v>
      </c>
      <c r="D6" s="1" t="s">
        <v>90</v>
      </c>
      <c r="F6" s="13"/>
      <c r="L6" s="2" t="s">
        <v>71</v>
      </c>
      <c r="M6" s="13">
        <v>6571</v>
      </c>
      <c r="N6" s="13">
        <f t="shared" ref="N6:N11" si="0">M6-M5</f>
        <v>2869</v>
      </c>
      <c r="R6" s="12">
        <v>6571</v>
      </c>
    </row>
    <row r="7" spans="2:18" x14ac:dyDescent="0.25">
      <c r="B7" s="13">
        <v>3702</v>
      </c>
      <c r="C7" s="29">
        <v>0</v>
      </c>
      <c r="D7" s="1" t="s">
        <v>94</v>
      </c>
      <c r="F7" s="13"/>
      <c r="L7" s="2" t="s">
        <v>69</v>
      </c>
      <c r="M7" s="13">
        <v>900</v>
      </c>
      <c r="N7" s="13"/>
      <c r="R7" s="12">
        <v>900</v>
      </c>
    </row>
    <row r="8" spans="2:18" x14ac:dyDescent="0.25">
      <c r="B8" s="13">
        <v>6571</v>
      </c>
      <c r="C8" s="29">
        <v>0</v>
      </c>
      <c r="D8" s="1" t="s">
        <v>95</v>
      </c>
      <c r="F8" s="13"/>
      <c r="L8" s="2" t="s">
        <v>72</v>
      </c>
      <c r="M8" s="13">
        <f>SUM(M6:M7)</f>
        <v>7471</v>
      </c>
      <c r="N8" s="13"/>
      <c r="R8" s="12">
        <v>521</v>
      </c>
    </row>
    <row r="9" spans="2:18" x14ac:dyDescent="0.25">
      <c r="B9" s="13">
        <f>B8+900</f>
        <v>7471</v>
      </c>
      <c r="C9" s="30">
        <v>0</v>
      </c>
      <c r="D9" s="1" t="s">
        <v>91</v>
      </c>
      <c r="F9" s="13"/>
      <c r="L9" s="2" t="s">
        <v>73</v>
      </c>
      <c r="M9" s="13">
        <f>M8+67</f>
        <v>7538</v>
      </c>
      <c r="N9" s="13">
        <f t="shared" si="0"/>
        <v>67</v>
      </c>
      <c r="R9" s="12">
        <f>SUM(R6:R8)</f>
        <v>7992</v>
      </c>
    </row>
    <row r="10" spans="2:18" x14ac:dyDescent="0.25">
      <c r="B10" s="13">
        <f>B9</f>
        <v>7471</v>
      </c>
      <c r="C10" s="29">
        <v>0</v>
      </c>
      <c r="D10" s="1" t="s">
        <v>92</v>
      </c>
      <c r="F10" s="13"/>
      <c r="L10" s="2" t="s">
        <v>33</v>
      </c>
      <c r="M10" s="13">
        <v>7924</v>
      </c>
      <c r="N10" s="13">
        <f t="shared" si="0"/>
        <v>386</v>
      </c>
      <c r="R10" s="12"/>
    </row>
    <row r="11" spans="2:18" x14ac:dyDescent="0.25">
      <c r="B11" s="13">
        <f>B10+67.57</f>
        <v>7538.57</v>
      </c>
      <c r="C11" s="29">
        <v>0</v>
      </c>
      <c r="D11" s="1" t="s">
        <v>93</v>
      </c>
      <c r="F11" s="13"/>
      <c r="L11" s="2" t="s">
        <v>74</v>
      </c>
      <c r="M11" s="13">
        <v>7992</v>
      </c>
      <c r="N11" s="13">
        <f t="shared" si="0"/>
        <v>68</v>
      </c>
      <c r="R11" s="12"/>
    </row>
    <row r="12" spans="2:18" x14ac:dyDescent="0.25">
      <c r="B12" s="13">
        <f>B10+466.26</f>
        <v>7937.26</v>
      </c>
      <c r="C12" s="29">
        <v>0</v>
      </c>
      <c r="D12" s="1" t="s">
        <v>96</v>
      </c>
      <c r="F12" s="13"/>
      <c r="L12" s="2"/>
      <c r="M12" s="12"/>
      <c r="N12" s="12"/>
      <c r="R12" s="12"/>
    </row>
    <row r="13" spans="2:18" s="11" customFormat="1" x14ac:dyDescent="0.25">
      <c r="B13" s="25">
        <f>B10+662.57</f>
        <v>8133.57</v>
      </c>
      <c r="C13" s="29">
        <v>0</v>
      </c>
      <c r="D13" s="11" t="s">
        <v>97</v>
      </c>
      <c r="F13" s="13"/>
      <c r="L13" s="14" t="s">
        <v>75</v>
      </c>
      <c r="M13" s="15" t="s">
        <v>76</v>
      </c>
      <c r="N13" s="15" t="s">
        <v>77</v>
      </c>
      <c r="O13" s="15" t="s">
        <v>78</v>
      </c>
      <c r="P13" s="16" t="s">
        <v>79</v>
      </c>
      <c r="Q13" s="16" t="s">
        <v>80</v>
      </c>
      <c r="R13" s="16" t="s">
        <v>81</v>
      </c>
    </row>
    <row r="14" spans="2:18" x14ac:dyDescent="0.25">
      <c r="B14" s="13">
        <f>B10+900</f>
        <v>8371</v>
      </c>
      <c r="C14" s="29">
        <v>0</v>
      </c>
      <c r="D14" s="1" t="s">
        <v>99</v>
      </c>
      <c r="F14" s="13"/>
      <c r="L14" s="2" t="s">
        <v>72</v>
      </c>
      <c r="M14" s="13">
        <v>0</v>
      </c>
      <c r="N14" s="13">
        <v>7471</v>
      </c>
      <c r="O14" s="17">
        <f>N14/86400</f>
        <v>8.6469907407407412E-2</v>
      </c>
      <c r="P14" s="13">
        <v>0</v>
      </c>
      <c r="Q14" s="13">
        <v>7471</v>
      </c>
      <c r="R14" s="17">
        <f>Q14/86400</f>
        <v>8.6469907407407412E-2</v>
      </c>
    </row>
    <row r="15" spans="2:18" x14ac:dyDescent="0.25">
      <c r="E15" s="13"/>
      <c r="F15" s="13"/>
      <c r="L15" s="2" t="s">
        <v>33</v>
      </c>
      <c r="M15" s="18">
        <v>466.26</v>
      </c>
      <c r="N15" s="13">
        <f>$N$14+M15</f>
        <v>7937.26</v>
      </c>
      <c r="O15" s="17">
        <f>N15/86400</f>
        <v>9.1866435185185183E-2</v>
      </c>
      <c r="P15" s="13">
        <f>Q15-Q14</f>
        <v>453</v>
      </c>
      <c r="Q15" s="13">
        <v>7924</v>
      </c>
      <c r="R15" s="17">
        <f t="shared" ref="R15:R16" si="1">Q15/86400</f>
        <v>9.1712962962962968E-2</v>
      </c>
    </row>
    <row r="16" spans="2:18" x14ac:dyDescent="0.25">
      <c r="E16" s="13"/>
      <c r="F16" s="13"/>
      <c r="L16" s="2" t="s">
        <v>82</v>
      </c>
      <c r="M16" s="18">
        <v>662.57</v>
      </c>
      <c r="N16" s="13">
        <f>$N$14+M16</f>
        <v>8133.57</v>
      </c>
      <c r="O16" s="17">
        <f>N16/86400</f>
        <v>9.4138541666666659E-2</v>
      </c>
      <c r="P16" s="13">
        <f>Q16-Q14</f>
        <v>521</v>
      </c>
      <c r="Q16" s="13">
        <v>7992</v>
      </c>
      <c r="R16" s="17">
        <f t="shared" si="1"/>
        <v>9.2499999999999999E-2</v>
      </c>
    </row>
    <row r="17" spans="2:18" x14ac:dyDescent="0.25">
      <c r="E17" s="13"/>
      <c r="F17" s="13"/>
      <c r="L17" s="2"/>
      <c r="M17" s="18"/>
      <c r="N17" s="13"/>
      <c r="O17" s="19"/>
      <c r="P17" s="13"/>
      <c r="Q17" s="18"/>
      <c r="R17" s="19"/>
    </row>
    <row r="18" spans="2:18" x14ac:dyDescent="0.25">
      <c r="E18" s="13"/>
      <c r="F18" s="13"/>
      <c r="M18" s="18"/>
      <c r="N18" s="13">
        <f>N16-Q16</f>
        <v>141.56999999999971</v>
      </c>
      <c r="O18" s="17">
        <f>N18/86400</f>
        <v>1.6385416666666634E-3</v>
      </c>
      <c r="P18" s="13"/>
      <c r="Q18" s="18"/>
      <c r="R18" s="17"/>
    </row>
    <row r="19" spans="2:18" x14ac:dyDescent="0.25">
      <c r="E19" s="13"/>
      <c r="M19" s="18"/>
      <c r="N19" s="18"/>
      <c r="O19" s="20"/>
      <c r="P19" s="13"/>
      <c r="Q19" s="18"/>
      <c r="R19" s="20"/>
    </row>
    <row r="20" spans="2:18" x14ac:dyDescent="0.25">
      <c r="B20" s="31" t="s">
        <v>103</v>
      </c>
      <c r="C20" s="32"/>
      <c r="D20" s="32"/>
      <c r="M20" s="18"/>
      <c r="N20" s="21">
        <f>N16/Q16-1</f>
        <v>1.7713963963963852E-2</v>
      </c>
      <c r="O20" s="20"/>
      <c r="P20" s="13"/>
      <c r="R20" s="20"/>
    </row>
    <row r="21" spans="2:18" x14ac:dyDescent="0.25">
      <c r="M21" s="18"/>
      <c r="N21" s="18"/>
      <c r="O21" s="20"/>
      <c r="P21" s="13"/>
      <c r="R21" s="20"/>
    </row>
    <row r="22" spans="2:18" x14ac:dyDescent="0.25">
      <c r="B22" s="26" t="s">
        <v>100</v>
      </c>
      <c r="C22" s="26" t="s">
        <v>104</v>
      </c>
      <c r="D22" s="2" t="s">
        <v>65</v>
      </c>
      <c r="F22" s="26"/>
      <c r="M22" s="18"/>
      <c r="N22" s="18"/>
      <c r="O22" s="20"/>
      <c r="P22" s="20"/>
      <c r="R22" s="20"/>
    </row>
    <row r="23" spans="2:18" x14ac:dyDescent="0.25">
      <c r="B23" s="29">
        <v>7471</v>
      </c>
      <c r="C23" s="29">
        <v>0</v>
      </c>
      <c r="D23" s="1" t="s">
        <v>92</v>
      </c>
      <c r="F23" s="13"/>
      <c r="P23" s="22"/>
    </row>
    <row r="24" spans="2:18" x14ac:dyDescent="0.25">
      <c r="B24" s="29">
        <f>B23+67.57</f>
        <v>7538.57</v>
      </c>
      <c r="C24" s="29">
        <v>0</v>
      </c>
      <c r="D24" s="1" t="s">
        <v>93</v>
      </c>
      <c r="F24" s="13"/>
      <c r="P24" s="22"/>
    </row>
    <row r="25" spans="2:18" x14ac:dyDescent="0.25">
      <c r="B25" s="29">
        <f>B23+466.26</f>
        <v>7937.26</v>
      </c>
      <c r="C25" s="29">
        <v>0</v>
      </c>
      <c r="D25" s="1" t="s">
        <v>96</v>
      </c>
      <c r="F25" s="13"/>
      <c r="M25" s="2"/>
      <c r="N25" s="2" t="s">
        <v>83</v>
      </c>
      <c r="O25" s="2" t="s">
        <v>84</v>
      </c>
    </row>
    <row r="26" spans="2:18" x14ac:dyDescent="0.25">
      <c r="B26" s="30">
        <f>B23+662.57</f>
        <v>8133.57</v>
      </c>
      <c r="C26" s="30">
        <v>0</v>
      </c>
      <c r="D26" s="11" t="s">
        <v>97</v>
      </c>
      <c r="F26" s="13"/>
      <c r="M26" s="1" t="s">
        <v>85</v>
      </c>
      <c r="N26" s="23">
        <v>-7.0000000000000001E-3</v>
      </c>
      <c r="O26" s="23">
        <v>-0.5</v>
      </c>
    </row>
    <row r="27" spans="2:18" x14ac:dyDescent="0.25">
      <c r="B27" s="29">
        <f>B23+900</f>
        <v>8371</v>
      </c>
      <c r="C27" s="29">
        <v>0</v>
      </c>
      <c r="D27" s="1" t="s">
        <v>98</v>
      </c>
      <c r="F27" s="13"/>
      <c r="M27" s="1" t="s">
        <v>86</v>
      </c>
      <c r="N27" s="23">
        <v>0.3</v>
      </c>
      <c r="O27" s="23">
        <v>-1</v>
      </c>
    </row>
    <row r="28" spans="2:18" x14ac:dyDescent="0.25">
      <c r="C28" s="26"/>
    </row>
    <row r="29" spans="2:18" x14ac:dyDescent="0.25">
      <c r="B29" s="26" t="s">
        <v>101</v>
      </c>
      <c r="C29" s="26" t="s">
        <v>104</v>
      </c>
      <c r="D29" s="2" t="s">
        <v>65</v>
      </c>
      <c r="M29" s="1" t="s">
        <v>87</v>
      </c>
      <c r="N29" s="24">
        <v>-0.125</v>
      </c>
      <c r="O29" s="24">
        <f>O26+0.05</f>
        <v>-0.45</v>
      </c>
    </row>
    <row r="30" spans="2:18" x14ac:dyDescent="0.25">
      <c r="B30" s="29">
        <v>0</v>
      </c>
      <c r="C30" s="29">
        <v>0</v>
      </c>
      <c r="D30" s="1" t="s">
        <v>92</v>
      </c>
      <c r="M30" s="1" t="s">
        <v>88</v>
      </c>
      <c r="N30" s="24">
        <f>N27-0.125</f>
        <v>0.17499999999999999</v>
      </c>
      <c r="O30" s="24">
        <f>O27+0.05</f>
        <v>-0.95</v>
      </c>
    </row>
    <row r="31" spans="2:18" x14ac:dyDescent="0.25">
      <c r="B31" s="29">
        <f>B30+67.57</f>
        <v>67.569999999999993</v>
      </c>
      <c r="C31" s="29">
        <v>0</v>
      </c>
      <c r="D31" s="1" t="s">
        <v>93</v>
      </c>
    </row>
    <row r="32" spans="2:18" x14ac:dyDescent="0.25">
      <c r="B32" s="29">
        <f>B30+466.26</f>
        <v>466.26</v>
      </c>
      <c r="C32" s="29">
        <v>0</v>
      </c>
      <c r="D32" s="1" t="s">
        <v>96</v>
      </c>
      <c r="M32" s="1" t="s">
        <v>89</v>
      </c>
      <c r="N32" s="1">
        <v>0</v>
      </c>
      <c r="O32" s="1">
        <v>0</v>
      </c>
    </row>
    <row r="33" spans="2:4" x14ac:dyDescent="0.25">
      <c r="B33" s="29">
        <f>B30+662.57</f>
        <v>662.57</v>
      </c>
      <c r="C33" s="29">
        <v>0</v>
      </c>
      <c r="D33" s="11" t="s">
        <v>97</v>
      </c>
    </row>
    <row r="34" spans="2:4" x14ac:dyDescent="0.25">
      <c r="B34" s="29">
        <f>B30+900</f>
        <v>900</v>
      </c>
      <c r="C34" s="29">
        <v>0</v>
      </c>
      <c r="D34" s="1" t="s">
        <v>99</v>
      </c>
    </row>
    <row r="36" spans="2:4" x14ac:dyDescent="0.25">
      <c r="B36" s="33" t="s">
        <v>105</v>
      </c>
      <c r="C36" s="26" t="s">
        <v>104</v>
      </c>
      <c r="D36" s="26" t="s">
        <v>65</v>
      </c>
    </row>
    <row r="37" spans="2:4" x14ac:dyDescent="0.25">
      <c r="B37" s="20" t="str">
        <f>CONCATENATE(B23,"(",B30,")")</f>
        <v>7471(0)</v>
      </c>
      <c r="C37" s="29">
        <v>0</v>
      </c>
    </row>
    <row r="38" spans="2:4" x14ac:dyDescent="0.25">
      <c r="B38" s="20" t="str">
        <f t="shared" ref="B38:B44" si="2">CONCATENATE(B24,"(",B31,")")</f>
        <v>7538,57(67,57)</v>
      </c>
      <c r="C38" s="29">
        <v>0</v>
      </c>
    </row>
    <row r="39" spans="2:4" x14ac:dyDescent="0.25">
      <c r="B39" s="20" t="str">
        <f t="shared" si="2"/>
        <v>7937,26(466,26)</v>
      </c>
      <c r="C39" s="29">
        <v>0</v>
      </c>
    </row>
    <row r="40" spans="2:4" x14ac:dyDescent="0.25">
      <c r="B40" s="20" t="str">
        <f t="shared" si="2"/>
        <v>8133,57(662,57)</v>
      </c>
      <c r="C40" s="29">
        <v>0</v>
      </c>
    </row>
    <row r="41" spans="2:4" x14ac:dyDescent="0.25">
      <c r="B41" s="20" t="str">
        <f t="shared" si="2"/>
        <v>8371(900)</v>
      </c>
      <c r="C41" s="29">
        <v>0</v>
      </c>
    </row>
    <row r="42" spans="2:4" x14ac:dyDescent="0.25">
      <c r="B42" s="20"/>
      <c r="C42" s="29"/>
    </row>
    <row r="43" spans="2:4" x14ac:dyDescent="0.25">
      <c r="B43" s="20"/>
      <c r="C43" s="29"/>
    </row>
    <row r="44" spans="2:4" x14ac:dyDescent="0.25">
      <c r="B44" s="20"/>
      <c r="C44" s="29"/>
    </row>
    <row r="45" spans="2:4" x14ac:dyDescent="0.25">
      <c r="C45" s="29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"/>
  <sheetViews>
    <sheetView showGridLines="0" zoomScaleNormal="100" workbookViewId="0">
      <selection activeCell="C5" sqref="C5"/>
    </sheetView>
  </sheetViews>
  <sheetFormatPr defaultRowHeight="21" x14ac:dyDescent="0.25"/>
  <cols>
    <col min="1" max="1" width="32.28515625" style="3" bestFit="1" customWidth="1"/>
    <col min="2" max="2" width="2.140625" style="3" customWidth="1"/>
    <col min="3" max="3" width="70.85546875" style="3" bestFit="1" customWidth="1"/>
    <col min="4" max="16384" width="9.140625" style="3"/>
  </cols>
  <sheetData>
    <row r="2" spans="1:3" x14ac:dyDescent="0.25">
      <c r="A2" s="6" t="s">
        <v>7</v>
      </c>
      <c r="B2" s="5"/>
      <c r="C2" s="3" t="s">
        <v>3</v>
      </c>
    </row>
    <row r="3" spans="1:3" x14ac:dyDescent="0.25">
      <c r="A3" s="6" t="s">
        <v>0</v>
      </c>
      <c r="B3" s="5"/>
      <c r="C3" s="3" t="s">
        <v>2</v>
      </c>
    </row>
    <row r="4" spans="1:3" x14ac:dyDescent="0.25">
      <c r="A4" s="6" t="s">
        <v>1</v>
      </c>
      <c r="B4" s="5"/>
      <c r="C4" s="4">
        <v>46080</v>
      </c>
    </row>
    <row r="5" spans="1:3" x14ac:dyDescent="0.25">
      <c r="A5" s="6"/>
      <c r="B5" s="5"/>
    </row>
    <row r="6" spans="1:3" x14ac:dyDescent="0.25">
      <c r="A6" s="6" t="s">
        <v>8</v>
      </c>
      <c r="B6" s="5"/>
      <c r="C6" s="3" t="s">
        <v>9</v>
      </c>
    </row>
    <row r="7" spans="1:3" x14ac:dyDescent="0.25">
      <c r="A7" s="6" t="s">
        <v>4</v>
      </c>
      <c r="B7" s="5"/>
      <c r="C7" s="3" t="s">
        <v>10</v>
      </c>
    </row>
    <row r="8" spans="1:3" x14ac:dyDescent="0.25">
      <c r="A8" s="6" t="s">
        <v>5</v>
      </c>
      <c r="B8" s="5"/>
      <c r="C8" s="3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D50B-B677-4D86-9467-D0CEED608AAB}">
  <dimension ref="A1:E36"/>
  <sheetViews>
    <sheetView topLeftCell="A22" zoomScale="250" zoomScaleNormal="250" workbookViewId="0">
      <selection activeCell="D18" sqref="D18"/>
    </sheetView>
  </sheetViews>
  <sheetFormatPr defaultRowHeight="13.5" x14ac:dyDescent="0.25"/>
  <cols>
    <col min="1" max="1" width="9.140625" style="1"/>
    <col min="2" max="2" width="13.28515625" style="1" customWidth="1"/>
    <col min="3" max="3" width="37.5703125" style="1" customWidth="1"/>
    <col min="4" max="16384" width="9.140625" style="1"/>
  </cols>
  <sheetData>
    <row r="1" spans="1:5" x14ac:dyDescent="0.25">
      <c r="A1" s="2" t="s">
        <v>23</v>
      </c>
      <c r="B1" s="2" t="s">
        <v>24</v>
      </c>
      <c r="C1" s="2" t="s">
        <v>25</v>
      </c>
      <c r="D1" s="2" t="s">
        <v>27</v>
      </c>
      <c r="E1" s="2" t="s">
        <v>49</v>
      </c>
    </row>
    <row r="2" spans="1:5" x14ac:dyDescent="0.25">
      <c r="A2" s="1">
        <v>1</v>
      </c>
      <c r="C2" s="1" t="s">
        <v>11</v>
      </c>
      <c r="D2" s="1" t="s">
        <v>12</v>
      </c>
      <c r="E2" s="7" t="s">
        <v>50</v>
      </c>
    </row>
    <row r="3" spans="1:5" x14ac:dyDescent="0.25">
      <c r="A3" s="1">
        <v>2</v>
      </c>
      <c r="C3" s="1" t="s">
        <v>13</v>
      </c>
      <c r="E3" s="7" t="s">
        <v>50</v>
      </c>
    </row>
    <row r="4" spans="1:5" x14ac:dyDescent="0.25">
      <c r="A4" s="1">
        <v>3</v>
      </c>
      <c r="C4" s="1" t="s">
        <v>14</v>
      </c>
      <c r="E4" s="7" t="s">
        <v>50</v>
      </c>
    </row>
    <row r="5" spans="1:5" x14ac:dyDescent="0.25">
      <c r="A5" s="1">
        <v>4</v>
      </c>
      <c r="C5" s="1" t="s">
        <v>15</v>
      </c>
      <c r="E5" s="7" t="s">
        <v>50</v>
      </c>
    </row>
    <row r="6" spans="1:5" x14ac:dyDescent="0.25">
      <c r="A6" s="7">
        <v>5</v>
      </c>
      <c r="B6" s="7" t="s">
        <v>18</v>
      </c>
      <c r="C6" s="7" t="s">
        <v>17</v>
      </c>
      <c r="D6" s="7" t="s">
        <v>12</v>
      </c>
      <c r="E6" s="7" t="s">
        <v>50</v>
      </c>
    </row>
    <row r="7" spans="1:5" x14ac:dyDescent="0.25">
      <c r="A7" s="1">
        <v>6</v>
      </c>
      <c r="B7" s="1" t="s">
        <v>16</v>
      </c>
      <c r="C7" s="1" t="s">
        <v>22</v>
      </c>
      <c r="E7" s="7" t="s">
        <v>50</v>
      </c>
    </row>
    <row r="8" spans="1:5" x14ac:dyDescent="0.25">
      <c r="A8" s="1">
        <v>7</v>
      </c>
      <c r="B8" s="1" t="s">
        <v>16</v>
      </c>
      <c r="C8" s="1" t="s">
        <v>20</v>
      </c>
      <c r="E8" s="7" t="s">
        <v>50</v>
      </c>
    </row>
    <row r="9" spans="1:5" x14ac:dyDescent="0.25">
      <c r="A9" s="1">
        <v>8</v>
      </c>
      <c r="B9" s="1" t="s">
        <v>16</v>
      </c>
      <c r="C9" s="1" t="s">
        <v>19</v>
      </c>
      <c r="E9" s="7" t="s">
        <v>50</v>
      </c>
    </row>
    <row r="10" spans="1:5" x14ac:dyDescent="0.25">
      <c r="A10" s="1">
        <v>9</v>
      </c>
      <c r="B10" s="1" t="s">
        <v>16</v>
      </c>
      <c r="C10" s="1" t="s">
        <v>21</v>
      </c>
      <c r="E10" s="7" t="s">
        <v>50</v>
      </c>
    </row>
    <row r="11" spans="1:5" x14ac:dyDescent="0.25">
      <c r="A11" s="7">
        <v>10</v>
      </c>
      <c r="B11" s="7" t="s">
        <v>18</v>
      </c>
      <c r="C11" s="7" t="s">
        <v>28</v>
      </c>
      <c r="D11" s="7" t="s">
        <v>12</v>
      </c>
      <c r="E11" s="7" t="s">
        <v>50</v>
      </c>
    </row>
    <row r="12" spans="1:5" x14ac:dyDescent="0.25">
      <c r="A12" s="1">
        <v>11</v>
      </c>
      <c r="B12" s="1" t="s">
        <v>26</v>
      </c>
      <c r="C12" s="1" t="s">
        <v>29</v>
      </c>
      <c r="E12" s="7" t="s">
        <v>50</v>
      </c>
    </row>
    <row r="13" spans="1:5" x14ac:dyDescent="0.25">
      <c r="A13" s="1">
        <v>12</v>
      </c>
      <c r="B13" s="1" t="s">
        <v>26</v>
      </c>
      <c r="C13" s="1" t="s">
        <v>30</v>
      </c>
      <c r="E13" s="7" t="s">
        <v>50</v>
      </c>
    </row>
    <row r="14" spans="1:5" x14ac:dyDescent="0.25">
      <c r="A14" s="1">
        <v>13</v>
      </c>
      <c r="B14" s="1" t="s">
        <v>26</v>
      </c>
      <c r="C14" s="1" t="s">
        <v>31</v>
      </c>
      <c r="E14" s="7" t="s">
        <v>50</v>
      </c>
    </row>
    <row r="15" spans="1:5" x14ac:dyDescent="0.25">
      <c r="A15" s="1">
        <v>14</v>
      </c>
      <c r="B15" s="1" t="s">
        <v>26</v>
      </c>
      <c r="C15" s="1" t="s">
        <v>32</v>
      </c>
      <c r="E15" s="7" t="s">
        <v>50</v>
      </c>
    </row>
    <row r="16" spans="1:5" x14ac:dyDescent="0.25">
      <c r="A16" s="1">
        <v>15</v>
      </c>
      <c r="B16" s="1" t="s">
        <v>26</v>
      </c>
      <c r="C16" s="1" t="s">
        <v>33</v>
      </c>
      <c r="E16" s="7" t="s">
        <v>50</v>
      </c>
    </row>
    <row r="17" spans="1:5" x14ac:dyDescent="0.25">
      <c r="A17" s="7">
        <v>16</v>
      </c>
      <c r="B17" s="7" t="s">
        <v>18</v>
      </c>
      <c r="C17" s="7" t="s">
        <v>34</v>
      </c>
      <c r="D17" s="7" t="s">
        <v>12</v>
      </c>
      <c r="E17" s="7" t="s">
        <v>50</v>
      </c>
    </row>
    <row r="18" spans="1:5" x14ac:dyDescent="0.25">
      <c r="A18" s="1">
        <v>17</v>
      </c>
      <c r="B18" s="1" t="s">
        <v>35</v>
      </c>
      <c r="C18" s="1" t="s">
        <v>36</v>
      </c>
      <c r="E18" s="7" t="s">
        <v>50</v>
      </c>
    </row>
    <row r="19" spans="1:5" x14ac:dyDescent="0.25">
      <c r="A19" s="1">
        <v>18</v>
      </c>
      <c r="B19" s="1" t="s">
        <v>35</v>
      </c>
      <c r="C19" s="1" t="s">
        <v>37</v>
      </c>
      <c r="E19" s="7" t="s">
        <v>50</v>
      </c>
    </row>
    <row r="20" spans="1:5" x14ac:dyDescent="0.25">
      <c r="A20" s="1">
        <v>19</v>
      </c>
      <c r="B20" s="1" t="s">
        <v>35</v>
      </c>
      <c r="C20" s="1" t="s">
        <v>38</v>
      </c>
      <c r="E20" s="7" t="s">
        <v>50</v>
      </c>
    </row>
    <row r="21" spans="1:5" x14ac:dyDescent="0.25">
      <c r="A21" s="1">
        <v>20</v>
      </c>
      <c r="B21" s="1" t="s">
        <v>35</v>
      </c>
      <c r="C21" s="1" t="s">
        <v>39</v>
      </c>
      <c r="E21" s="7" t="s">
        <v>50</v>
      </c>
    </row>
    <row r="22" spans="1:5" x14ac:dyDescent="0.25">
      <c r="A22" s="7">
        <v>21</v>
      </c>
      <c r="B22" s="7" t="s">
        <v>18</v>
      </c>
      <c r="C22" s="7" t="s">
        <v>40</v>
      </c>
      <c r="D22" s="7"/>
      <c r="E22" s="7" t="s">
        <v>50</v>
      </c>
    </row>
    <row r="23" spans="1:5" x14ac:dyDescent="0.25">
      <c r="A23" s="1">
        <v>22</v>
      </c>
      <c r="B23" s="1" t="s">
        <v>41</v>
      </c>
      <c r="C23" s="1" t="s">
        <v>42</v>
      </c>
      <c r="E23" s="7" t="s">
        <v>50</v>
      </c>
    </row>
    <row r="24" spans="1:5" x14ac:dyDescent="0.25">
      <c r="A24" s="1">
        <v>23</v>
      </c>
      <c r="B24" s="1" t="s">
        <v>41</v>
      </c>
      <c r="C24" s="1" t="s">
        <v>42</v>
      </c>
      <c r="E24" s="7" t="s">
        <v>50</v>
      </c>
    </row>
    <row r="25" spans="1:5" x14ac:dyDescent="0.25">
      <c r="A25" s="1">
        <v>24</v>
      </c>
      <c r="B25" s="1" t="s">
        <v>41</v>
      </c>
      <c r="C25" s="1" t="s">
        <v>42</v>
      </c>
      <c r="E25" s="7" t="s">
        <v>50</v>
      </c>
    </row>
    <row r="26" spans="1:5" x14ac:dyDescent="0.25">
      <c r="A26" s="1">
        <v>25</v>
      </c>
      <c r="B26" s="1" t="s">
        <v>41</v>
      </c>
      <c r="C26" s="1" t="s">
        <v>42</v>
      </c>
      <c r="E26" s="7" t="s">
        <v>50</v>
      </c>
    </row>
    <row r="27" spans="1:5" x14ac:dyDescent="0.25">
      <c r="A27" s="1">
        <v>26</v>
      </c>
      <c r="B27" s="1" t="s">
        <v>41</v>
      </c>
      <c r="C27" s="1" t="s">
        <v>42</v>
      </c>
      <c r="E27" s="7" t="s">
        <v>50</v>
      </c>
    </row>
    <row r="28" spans="1:5" x14ac:dyDescent="0.25">
      <c r="A28" s="1">
        <v>27</v>
      </c>
      <c r="B28" s="1" t="s">
        <v>41</v>
      </c>
      <c r="C28" s="1" t="s">
        <v>42</v>
      </c>
      <c r="E28" s="7" t="s">
        <v>50</v>
      </c>
    </row>
    <row r="29" spans="1:5" x14ac:dyDescent="0.25">
      <c r="A29" s="1">
        <v>28</v>
      </c>
      <c r="B29" s="1" t="s">
        <v>41</v>
      </c>
      <c r="C29" s="1" t="s">
        <v>42</v>
      </c>
      <c r="E29" s="7" t="s">
        <v>50</v>
      </c>
    </row>
    <row r="30" spans="1:5" x14ac:dyDescent="0.25">
      <c r="A30" s="1">
        <v>29</v>
      </c>
      <c r="B30" s="1" t="s">
        <v>41</v>
      </c>
      <c r="C30" s="1" t="s">
        <v>42</v>
      </c>
      <c r="E30" s="7" t="s">
        <v>50</v>
      </c>
    </row>
    <row r="31" spans="1:5" x14ac:dyDescent="0.25">
      <c r="A31" s="1">
        <v>30</v>
      </c>
      <c r="B31" s="1" t="s">
        <v>41</v>
      </c>
      <c r="C31" s="1" t="s">
        <v>42</v>
      </c>
      <c r="E31" s="7" t="s">
        <v>50</v>
      </c>
    </row>
    <row r="32" spans="1:5" x14ac:dyDescent="0.25">
      <c r="A32" s="7">
        <v>31</v>
      </c>
      <c r="B32" s="7" t="s">
        <v>18</v>
      </c>
      <c r="C32" s="7" t="s">
        <v>43</v>
      </c>
      <c r="D32" s="7"/>
      <c r="E32" s="7" t="s">
        <v>50</v>
      </c>
    </row>
    <row r="33" spans="1:5" x14ac:dyDescent="0.25">
      <c r="A33" s="1">
        <v>32</v>
      </c>
      <c r="B33" s="1" t="s">
        <v>44</v>
      </c>
      <c r="C33" s="1" t="s">
        <v>45</v>
      </c>
      <c r="E33" s="7" t="s">
        <v>50</v>
      </c>
    </row>
    <row r="34" spans="1:5" x14ac:dyDescent="0.25">
      <c r="A34" s="1">
        <v>33</v>
      </c>
      <c r="B34" s="1" t="s">
        <v>44</v>
      </c>
      <c r="C34" s="1" t="s">
        <v>46</v>
      </c>
      <c r="E34" s="7" t="s">
        <v>50</v>
      </c>
    </row>
    <row r="35" spans="1:5" x14ac:dyDescent="0.25">
      <c r="A35" s="1">
        <v>34</v>
      </c>
      <c r="B35" s="1" t="s">
        <v>44</v>
      </c>
      <c r="C35" s="1" t="s">
        <v>47</v>
      </c>
      <c r="E35" s="7" t="s">
        <v>50</v>
      </c>
    </row>
    <row r="36" spans="1:5" x14ac:dyDescent="0.25">
      <c r="A36" s="7">
        <v>35</v>
      </c>
      <c r="B36" s="7" t="s">
        <v>48</v>
      </c>
      <c r="C36" s="7"/>
      <c r="D36" s="7"/>
      <c r="E36" s="7" t="s">
        <v>50</v>
      </c>
    </row>
  </sheetData>
  <conditionalFormatting sqref="D2:E36">
    <cfRule type="cellIs" dxfId="3" priority="3" operator="equal">
      <formula>"Aberto"</formula>
    </cfRule>
    <cfRule type="cellIs" dxfId="2" priority="4" operator="equal">
      <formula>"Ok"</formula>
    </cfRule>
  </conditionalFormatting>
  <conditionalFormatting sqref="E2:E36">
    <cfRule type="cellIs" dxfId="1" priority="1" operator="equal">
      <formula>"Sim"</formula>
    </cfRule>
    <cfRule type="cellIs" dxfId="0" priority="2" operator="equal">
      <formula>"Não"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Slide inicial</vt:lpstr>
      <vt:lpstr>Linha do tempo</vt:lpstr>
      <vt:lpstr>Capa</vt:lpstr>
      <vt:lpstr>Estrutura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Oliveira</dc:creator>
  <cp:lastModifiedBy>Alexandre Oliveira</cp:lastModifiedBy>
  <dcterms:created xsi:type="dcterms:W3CDTF">2015-06-05T18:19:34Z</dcterms:created>
  <dcterms:modified xsi:type="dcterms:W3CDTF">2026-02-24T18:48:32Z</dcterms:modified>
</cp:coreProperties>
</file>